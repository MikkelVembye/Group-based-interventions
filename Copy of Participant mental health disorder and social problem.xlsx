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B199526\Desktop\GitHub repos\Group-based-interventions\"/>
    </mc:Choice>
  </mc:AlternateContent>
  <xr:revisionPtr revIDLastSave="0" documentId="8_{3357EE06-07A2-494A-82B8-9F2EF6CD1328}" xr6:coauthVersionLast="36" xr6:coauthVersionMax="36" xr10:uidLastSave="{00000000-0000-0000-0000-000000000000}"/>
  <bookViews>
    <workbookView xWindow="0" yWindow="0" windowWidth="19200" windowHeight="6300" xr2:uid="{00000000-000D-0000-FFFF-FFFF00000000}"/>
  </bookViews>
  <sheets>
    <sheet name="Ark1" sheetId="1" r:id="rId1"/>
  </sheets>
  <externalReferences>
    <externalReference r:id="rId2"/>
    <externalReference r:id="rId3"/>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I6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000-000001000000}">
      <text>
        <r>
          <rPr>
            <sz val="11"/>
            <color theme="1"/>
            <rFont val="Calibri"/>
            <family val="2"/>
            <scheme val="minor"/>
          </rPr>
          <t>======
ID#AAAAwRGAcCA
Forfatter    (2023-05-03 08:31:45)
What mental health disorder are represented in the sample/analysis? 
[Mhealth]</t>
        </r>
      </text>
    </comment>
    <comment ref="C1" authorId="0" shapeId="0" xr:uid="{00000000-0006-0000-0000-000002000000}">
      <text>
        <r>
          <rPr>
            <sz val="11"/>
            <color rgb="FF000000"/>
            <rFont val="Calibri"/>
            <family val="2"/>
          </rPr>
          <t xml:space="preserve">======
</t>
        </r>
        <r>
          <rPr>
            <sz val="11"/>
            <color rgb="FF000000"/>
            <rFont val="Calibri"/>
            <family val="2"/>
          </rPr>
          <t xml:space="preserve">ID#AAAAwRGAcCg
</t>
        </r>
        <r>
          <rPr>
            <sz val="11"/>
            <color rgb="FF000000"/>
            <rFont val="Calibri"/>
            <family val="2"/>
          </rPr>
          <t xml:space="preserve">Author    (2023-05-03 08:31:45)
</t>
        </r>
        <r>
          <rPr>
            <sz val="11"/>
            <color rgb="FF000000"/>
            <rFont val="Calibri"/>
            <family val="2"/>
          </rPr>
          <t xml:space="preserve">Is the involved individuals pre-diagnosed or have they completed a self-reported assesment for /either mental health status / comorbidities. 
</t>
        </r>
        <r>
          <rPr>
            <sz val="11"/>
            <color rgb="FF000000"/>
            <rFont val="Calibri"/>
            <family val="2"/>
          </rPr>
          <t>[Assesment]</t>
        </r>
      </text>
    </comment>
    <comment ref="D1" authorId="0" shapeId="0" xr:uid="{00000000-0006-0000-0000-000003000000}">
      <text>
        <r>
          <rPr>
            <sz val="11"/>
            <color rgb="FF000000"/>
            <rFont val="Calibri"/>
            <family val="2"/>
          </rPr>
          <t xml:space="preserve">======
</t>
        </r>
        <r>
          <rPr>
            <sz val="11"/>
            <color rgb="FF000000"/>
            <rFont val="Calibri"/>
            <family val="2"/>
          </rPr>
          <t xml:space="preserve">ID#AAAAwRGAcCI
</t>
        </r>
        <r>
          <rPr>
            <sz val="11"/>
            <color rgb="FF000000"/>
            <rFont val="Calibri"/>
            <family val="2"/>
          </rPr>
          <t xml:space="preserve">Mikkel Helding Vembye    (2023-05-03 08:31:45)
</t>
        </r>
        <r>
          <rPr>
            <sz val="11"/>
            <color rgb="FF000000"/>
            <rFont val="Calibri"/>
            <family val="2"/>
          </rPr>
          <t xml:space="preserve">Indicate the sample composotion, i.e., if the participant in the study are generally homogeneous in terms of their diagnosis, gender, or other relevant characteristics. 
</t>
        </r>
        <r>
          <rPr>
            <sz val="11"/>
            <color rgb="FF000000"/>
            <rFont val="Calibri"/>
            <family val="2"/>
          </rPr>
          <t xml:space="preserve">
</t>
        </r>
        <r>
          <rPr>
            <sz val="11"/>
            <color rgb="FF000000"/>
            <rFont val="Calibri"/>
            <family val="2"/>
          </rPr>
          <t>Use the category Principally homogeneous/heterogeneous if the absolut majority (e.g., 90% vs 10 %) share the same diagnosis, alternatively has different diagnostic characteristics.</t>
        </r>
      </text>
    </comment>
    <comment ref="E1" authorId="0" shapeId="0" xr:uid="{00000000-0006-0000-0000-000004000000}">
      <text>
        <r>
          <rPr>
            <sz val="11"/>
            <color rgb="FF000000"/>
            <rFont val="Calibri"/>
            <family val="2"/>
          </rPr>
          <t xml:space="preserve">======
</t>
        </r>
        <r>
          <rPr>
            <sz val="11"/>
            <color rgb="FF000000"/>
            <rFont val="Calibri"/>
            <family val="2"/>
          </rPr>
          <t xml:space="preserve">ID#AAAAwRGAcB4
</t>
        </r>
        <r>
          <rPr>
            <sz val="11"/>
            <color rgb="FF000000"/>
            <rFont val="Calibri"/>
            <family val="2"/>
          </rPr>
          <t xml:space="preserve">Mikkel Helding Vembye    (2023-05-03 08:31:45)
</t>
        </r>
        <r>
          <rPr>
            <sz val="11"/>
            <color rgb="FF000000"/>
            <rFont val="Calibri"/>
            <family val="2"/>
          </rPr>
          <t>For example was the group composition primarily made up due to common social problems or share of diagnosis or a mix?</t>
        </r>
      </text>
    </comment>
    <comment ref="F1" authorId="0" shapeId="0" xr:uid="{00000000-0006-0000-0000-000005000000}">
      <text>
        <r>
          <rPr>
            <sz val="11"/>
            <color rgb="FF000000"/>
            <rFont val="Calibri"/>
            <family val="2"/>
          </rPr>
          <t xml:space="preserve">======
</t>
        </r>
        <r>
          <rPr>
            <sz val="11"/>
            <color rgb="FF000000"/>
            <rFont val="Calibri"/>
            <family val="2"/>
          </rPr>
          <t xml:space="preserve">ID#AAAAwRGAcC8
</t>
        </r>
        <r>
          <rPr>
            <sz val="11"/>
            <color rgb="FF000000"/>
            <rFont val="Calibri"/>
            <family val="2"/>
          </rPr>
          <t xml:space="preserve">Mikkel Helding Vembye    (2023-05-03 08:31:45)
</t>
        </r>
        <r>
          <rPr>
            <sz val="11"/>
            <color rgb="FF000000"/>
            <rFont val="Calibri"/>
            <family val="2"/>
          </rPr>
          <t>Insert quote(s), add reference to relevant decriptive tables or descripe in more detail what the included sample composition/sample characteristics look like.</t>
        </r>
      </text>
    </comment>
  </commentList>
</comments>
</file>

<file path=xl/sharedStrings.xml><?xml version="1.0" encoding="utf-8"?>
<sst xmlns="http://schemas.openxmlformats.org/spreadsheetml/2006/main" count="427" uniqueCount="270">
  <si>
    <t>Sample composition</t>
  </si>
  <si>
    <t>Borderline personality disorder</t>
  </si>
  <si>
    <t>Personality disorders (unspecified)</t>
  </si>
  <si>
    <t>Bipolar disorders</t>
  </si>
  <si>
    <t xml:space="preserve">Anxiety </t>
  </si>
  <si>
    <t>Obsessive-compulsive disorder</t>
  </si>
  <si>
    <t>Post traumatic stress disorder</t>
  </si>
  <si>
    <t>Suicidal</t>
  </si>
  <si>
    <t>Eating disorder</t>
  </si>
  <si>
    <t>Not specified</t>
  </si>
  <si>
    <t>Autism spectrum disorder</t>
  </si>
  <si>
    <t>Notes</t>
  </si>
  <si>
    <t>Other</t>
  </si>
  <si>
    <t>Homeless</t>
  </si>
  <si>
    <t xml:space="preserve">Substance abuse </t>
  </si>
  <si>
    <t>Unemployed</t>
  </si>
  <si>
    <t>Criminal justice involvment</t>
  </si>
  <si>
    <t>Chronic medical condition</t>
  </si>
  <si>
    <t>Psychiatric comorbidity</t>
  </si>
  <si>
    <t>Loneliness</t>
  </si>
  <si>
    <t>Trauma experience</t>
  </si>
  <si>
    <t xml:space="preserve">Notes </t>
  </si>
  <si>
    <t>Type of mental health disorder</t>
  </si>
  <si>
    <t>Self assesment / Pre-diagnosed</t>
  </si>
  <si>
    <t>What factor(s) constitued the 
sample composition?</t>
  </si>
  <si>
    <t xml:space="preserve">Sample/population/participants 
characteristics </t>
  </si>
  <si>
    <t>Psychological stress and reduced psychosocial functioning. "Inclusion criteria were (1) being 18 years or above, (2) being a Syrian with a temporary protection status granted by the government (allowing them to legally stay in Turkey and access basic services), (3) being an Arabic speaker, (4) having elevated levels of psychological stress (score &gt; 15 on the Kessler-10 Psychological Distress Scale) [31, 32] and and (5) having reduced psychosocial functioning determined by scoring
higher than 16 on the WHO Disability Scale (WHODAS)" (p 3)</t>
  </si>
  <si>
    <t>Homogeneous 
"Syrian refugees resettled in Turkey [with] a high prevalence 
of symptoms of mental disorders" (p. 1)</t>
  </si>
  <si>
    <t>Shared origin and psychological distress
"Syrian refugees with psychological distress" (abstract) 
"Inclusion criteria
were (1) being 18 years or above, (2) being a Syrian with
a temporary protection status granted by the government
(allowing them to legally stay in Turkey and access basic
services), (3) being an Arabic speaker, (4) having elevated
levels of psychological stress (score &gt; 15 on the Kessler-10
Psychological Distress Scale) [31, 32] and and (5) having
reduced psychosocial functioning determined by scoring
higher than 16 on the WHO Disability Scale (WHODAS)
[33]. Exclusion criteria were having (1) an acute medical
condition, (2) an imminent risk of suicide, (3) severe
mental disorder (psychotic disorders or substance use
dependence), or (4) severe cognitive impairment (e.g.,
severe intellectual disability)." (p. 3)</t>
  </si>
  <si>
    <t>"Syrian refugees with psychological distress" (abstract)</t>
  </si>
  <si>
    <t>Acarturk et al. (2022)</t>
  </si>
  <si>
    <t>Ball et al. (2005)</t>
  </si>
  <si>
    <t>Barbic et al. (2009)</t>
  </si>
  <si>
    <t>Burnam et al. (1995)</t>
  </si>
  <si>
    <t>Cano-Vindel et al. (2021)</t>
  </si>
  <si>
    <t>Craigie &amp; Nathan (2009)</t>
  </si>
  <si>
    <t>Crawford (2012)</t>
  </si>
  <si>
    <t>Druss et al. (2010)</t>
  </si>
  <si>
    <t>Druss et al. (2018)</t>
  </si>
  <si>
    <t>Dyck et al. (2000)</t>
  </si>
  <si>
    <t>Gatz et al. (2007)</t>
  </si>
  <si>
    <t>Gordon et al. (2018)</t>
  </si>
  <si>
    <t>Halperin et al. (2000)</t>
  </si>
  <si>
    <t>Haslam et al. (2019)</t>
  </si>
  <si>
    <t>Izquierdo et al. (2021)</t>
  </si>
  <si>
    <t>Lloyd-Evans et al. (2020)</t>
  </si>
  <si>
    <t>Patterson et al. (2003)</t>
  </si>
  <si>
    <t>Popolo (2019)</t>
  </si>
  <si>
    <t>Sacks et al. (2011)</t>
  </si>
  <si>
    <t>Sajatovic et al. (2009)</t>
  </si>
  <si>
    <t>Smith et al. (2021)/Wuthrich &amp; Rapee (2013)</t>
  </si>
  <si>
    <t>Valiente et al. (2022)</t>
  </si>
  <si>
    <t>Vallina-Fernández et al. (2001)</t>
  </si>
  <si>
    <t>van Gestel-Timmermans et al. (2012)</t>
  </si>
  <si>
    <t>Yanos et al. (2012)</t>
  </si>
  <si>
    <t>Reference</t>
  </si>
  <si>
    <t>Schizophrenia, depression, bipolar disorder, or other psychotic disorders / functional impairments</t>
  </si>
  <si>
    <t>Pre-diagnosed</t>
  </si>
  <si>
    <t xml:space="preserve">Principally homogeneous </t>
  </si>
  <si>
    <t>Shared common diagnosis</t>
  </si>
  <si>
    <t>"Study eligibility criteria were as follows: enrolled in a mental health treatment team served by one of the designated IPS teams; no competitive employment in the past three months; no prior IPS job search or support services; severe mental illness, according to state criteria (that is, diagnosis of schizo_x0002_phrenia spectrum disorder, bipolar disorder, or other psychotic disorder and either significant treatment history or significant functional impairments); age 18 years or older; expressed in_x0002_terest in a competitive job; self-disclosed criminal justice his_x0002_tory; no legal, physical or other restriction that would prevent participating over the 12-month follow-up period, including pending criminal charges; attendance at two informational groups; and capacity and willingness to give informed consent." P. 1028</t>
  </si>
  <si>
    <t>Schizoprenia or related disorders and bipolar disorder. Pp. 492</t>
  </si>
  <si>
    <t>Principally homogeneous.
 Pp 495
 No differences in the demographic characteristics</t>
  </si>
  <si>
    <t>"Clients were
 eligible if they used ACT services for more than six consecutive months,
 were between the ages of 18 and 60,
 and met DSM-IV diagnostic criteria
 for schizophrenia, schizoaffective disorder,
 schizophreniform disorder,
 delusional disorder, or bipolar disorder." pp. 492</t>
  </si>
  <si>
    <t>Table 2 shows characteristics of 33 recipients of ACT, by group and assignment</t>
  </si>
  <si>
    <t xml:space="preserve">Schizoaffective disorder, bipolarism, depression &amp; anxiety. </t>
  </si>
  <si>
    <t>Table 1, p. 172</t>
  </si>
  <si>
    <t>"Those meeting lifetime DSM III-R criteria for schizophrenia or major affective disorder, and also criteria for substance dependence (with some substance abuse or dependence prob lems in the past year) were eligible for the study"
(p. 116)</t>
  </si>
  <si>
    <t>Pricipally heterogeneous</t>
  </si>
  <si>
    <t>Mixed
 "Those who agreed to be interviewed by research staff participated in a brief screening interview which estab lished whether or not participants met criteria for homelessness [...], and screened for symptoms of serious mental illness and a history of problems with alcohol or drugs" (p. 116)</t>
  </si>
  <si>
    <t xml:space="preserve"> "The large majority were unmarried males in their 30s and 40s with at least a high school degree. The sample was nearly equal in the distribution of primary schizophrenia versus major affective disorder. Both drug and alcohol dependence were highly prevalent, with many indi viduals reporting problems across multiple substances. In the past month, 53% of the sample had used cocaine, 47% used marijuana, 24% used sedatives, 9% used opiates, 8% used amphetamines, 6% used hallucino gens, and 3% used barbiturates and inhalants." (p. 119)
Table 1, p. 120</t>
  </si>
  <si>
    <t xml:space="preserve">Homogeneous </t>
  </si>
  <si>
    <t>Major depressive disorder, anixiety, social phobia, OCD, PTSD, panic disorder, dysthymia</t>
  </si>
  <si>
    <t>See table 1, p. 307</t>
  </si>
  <si>
    <t>Schizophrenia, p. 2</t>
  </si>
  <si>
    <t>"Participants recruited from 
 among group home residents met
 chart-reviewed criteria for an Axis I diagnosis of schizophrenia, an affective disorder, or an Axis II diagnosis of mod erate to severe borderline personality 
 disorder" p. 275</t>
  </si>
  <si>
    <t>Heterogeneous / NI, other than age and gender</t>
  </si>
  <si>
    <t>Shared Social problem(s)/challenge(s)</t>
  </si>
  <si>
    <t>Table 1, p. 274</t>
  </si>
  <si>
    <t>Schizophrenia; Bipolar Disorder; Major Depression; PTSD (see table 1, p. 268)</t>
  </si>
  <si>
    <t xml:space="preserve">Heterogeneous </t>
  </si>
  <si>
    <t>Mixed
"subjects had to be on the active patient roster at the CMHC, have a severe mental illness, (National Advisory Mental Health Council 1993) have one or more chronic medical condition, and have the capacity to provide informed consent" (p. 265-266)</t>
  </si>
  <si>
    <t>Table 1, p. 268</t>
  </si>
  <si>
    <t>"Inclusion criteria were presence of a serious mental illness
(schizophrenia, schizoaffective disorder, bipolar disorder, major depression, obsessive-compulsive disorder, or posttraumatic stress disorder, with or without a comorbid substance use disorder)" pp. 530</t>
  </si>
  <si>
    <t>Pre-diagnosed. Because participants were identified from a list of active patients at each mental health center</t>
  </si>
  <si>
    <t>Shared diagnoses:
"Inclusion criteria were presence of a serious mental illness (schizophrenia, schizoaffective disorder, bipolar disorder, major depression, obsessive-compulsive disorder, or posttraumatic stress disorder, with or without a comorbid substance use disorder) (31) and one or more of the following chronic general medical illnesses: diabetes, heart disease, hyperlipidemia, hypertension, arthritis, hepatitis, asthma or chronic obstructive pulmonary disorder (COPD), or HIV." pp. 530</t>
  </si>
  <si>
    <t>"A majority of participants were female, African American, and poor; nearly all were uninsured or covered by public insurance (Table 1). The most common psychiatric diagno_x0002_ses as assessed by CMHC charts were major depression, bipolar disorder, and schizophrenia, and the most common chronic general medical conditions as assessed by CMHC charts and confirmed by medical charts ordered for each participant were hypertension, hyperlipidemia, asthma or COPD, and diabetes" pp. 532
See table 1, p. 531</t>
  </si>
  <si>
    <t>Schizophrenia</t>
  </si>
  <si>
    <t>Homogeneous</t>
  </si>
  <si>
    <t>"The criteria for inclusion in the study were a diagnosis of schizophrenia or
 schizoaffective disorder according to DSM-IV criteria (33), age between 18 and 45 years, enrollment for mental
 health services in a community
 outpatient facility (Spokane Mental Health), residence with the family of origin or in regular contact with the family, patient and family consent to participate, and minimum attendance by one family member for at least five face-to-face contacts. Patients with either a history of substance abuse or current substance abuse were not excluded." pp. 514</t>
  </si>
  <si>
    <t>Any mental health or personality disorder. Inclusion criteria were "meet diagnostic criteria for a mental health or personality disorder, meet diagnostic criteria for a substance use disorder, and have a history of violent or traumatic experiences (typically sexual or physical abuse" (p. 866)</t>
  </si>
  <si>
    <t>Table 1, p. 867</t>
  </si>
  <si>
    <t xml:space="preserve">Inclusion criteria were "meet diagnostic criteria for a mental health or personality disorder, meet diagnostic criteria for a substance use disorder, and have a history of violent or traumatic experiences (typically sexual or physical abuse" </t>
  </si>
  <si>
    <t>High rates of confinement in jail and homelessness, but not inclusion criteria</t>
  </si>
  <si>
    <t>Bipolar disorder</t>
  </si>
  <si>
    <t>"Eleven outpatients with bipolar disorder (type I , I I or NOS), ages 21 to
70 years old, were recruited from 250 patients enrolled in one site of the
National Institute of Mental Health Systematic Treatment Enhancement
Program for Bipolar Disorder (STEP-BD)." pp. 407</t>
  </si>
  <si>
    <t>"Eleven outpatients with bipolar disorder (type I , I I or NOS), ages 21 to 70 years old, were recruited from 250 patients enrolled in one site of the National Institute of Mental Health Systematic Treatment Enhancement Program for Bipolar Disorder (STEP-BD)." pp. 407</t>
  </si>
  <si>
    <t>"schizophrenia (all subtypes), schizophreniform disorder, schizoaffective disorder, substance-induced psychotic disorder, and psychotic disorder not otherwise specified" (p. 119)</t>
  </si>
  <si>
    <t xml:space="preserve">See table 1, p. 120 </t>
  </si>
  <si>
    <t>"formal psychiatric diagnosis (e.g., schizophrenia, bipolar disorder, depression)" (p. 62)</t>
  </si>
  <si>
    <t>"Twenty-four participants enrolled in the study; four participants withdrew, leaving a total of 20 participants who completed the study (10 =intervention group, 10¼ control group). The majority of participants were male (n =14, 70%; female: n= 6, 30%) with a mean age of 52.85 ± 10.95 years (range: 30–69). Participants were primarily African American (n=9, 45%) andHispanic (n =9, 45%); 10% were White (n =2). Schizophrenia (n=12, 60%) was the most common diagnosis, followed by depression (n=6, 30%) and bipolar disorder (n = 2, 10%). Fifty percent of participants completed either elementary school (n =5, 25%) or high school (n =5, 25%), 30% completed either a GED (n = 3, 15%) or some college (n =3, 15%), and 4% (n=4) completed college. See Table 1 for a breakdown of participant demographics by group assignment." (p. 65)</t>
  </si>
  <si>
    <t>A variety of Psychiatric Disorders:
"The sample that completed therapy fulfilled the criteria of 73 diagnoses based
on the SCID: sixty-four diagnoses on Axis I, and 9 diagnoses on Axis II. The most common
diagnoses were anxiety disorders, followed by depressive disorders (see Table 1). Sixty-four
percent used psychopharmacological medication in at least 6 months before they started
therapy" (p. 35)
Or see table 1, p. 36 which gives an overview</t>
  </si>
  <si>
    <t>Unclear
They all have psychiatric diagnose, but have different and co-morbid diagnoses</t>
  </si>
  <si>
    <t>"There were 22% males, and 78% females in the sample, with a range in age from 20 to 60 (M = 38,12,
SD = 10, 21). The sample that completed therapy fulfilled the criteria of 73 diagnoses based
on the SCID: sixty-four diagnoses on Axis I, and 9 diagnoses on Axis II. The most common
diagnoses were anxiety disorders, followed by depressive disorders (see Table 1). Sixty-four
percent used psychopharmacological medication in at least 6 months before they started therapy"
See table 1, p. 36</t>
  </si>
  <si>
    <t>schizophrenia</t>
  </si>
  <si>
    <t>Shared common diagnosis:
"The diagnosis of schizophrenia
had been assigned by the patient’s psychiatrist.
The Brief Social Phobia Scale (BSPS) [13],
administered by SH, was used to screen for individuals
with significant social anxiety. Those patients
who screened positively (score &gt; 20) on the BSPS
were invited to participate in the group intervention." pp. 810</t>
  </si>
  <si>
    <t>"The final sample was comprised of 13 males and
three females aged between 19 and 67 years (mean
age 39.6 years). None were married and only one
was currently employed" (p. 811)</t>
  </si>
  <si>
    <t>"All patients had been diagnosed with the DSM-IV SCID-II interview before
study onset. We included in the study both recently referred and diagnosed patients, and those who had also previously received treatment for BPD." pp. 177f</t>
  </si>
  <si>
    <t>Social anxiety disorder</t>
  </si>
  <si>
    <t>Mixed</t>
  </si>
  <si>
    <t>"Participants were unemployed, vocational service-seeking adults with SAD." pp. 170</t>
  </si>
  <si>
    <t>Schizophrenia or schizoaffective disorder</t>
  </si>
  <si>
    <t>Fourteen adult individuals of age 21–60 years (M =42.71, SD =12.43; 6 women) diagnosed with schizophrenia (N=12) or schizoaffective disorder (N=2) [...] 
The experi_x0002_mental group (six patients with schizophrenia, one with schizoaffective disorder; four men, three women) [...] 
The remaining patients (six patients with schizophrenia, one with schizoaffective disorder; four men, three women) comprised a wait-list control group (p. 3)
Table 1, p. 5</t>
  </si>
  <si>
    <t>Borderline Personality Disorder. Most of the patients had current comorbid disorders (IG: 94%; CG: 83%). The most frequent current 
 comorbid diagnoses were major depression(IG: 17%/n = 3; CG: 13%/n = 3), dysthymia (IG: 33%/n = 6; CG: 38%/n = 9),PTSD (IG:22%/n = 4; CG: 17%/n = 4), substance abuse (IG: 28%/n = 5; CG: 38%/n = 9), and eating disorders (IG: 72%/n = 13; CG: 8%/n = 2; p&lt;.001).</t>
  </si>
  <si>
    <t>All participants suffered from Borderline Personality Disorder, mean level of education = 13.5 years (IG: 13.4±3.2; CG: 13.6±2.5). Thirty-eight percent of both groups were currently working. With the excep_x0002_tion of eating disorders, comorbid diagnoses were equally dis_x0002_tributed in both groups pa. 379</t>
  </si>
  <si>
    <t xml:space="preserve">Dual diagnosis: mental disorder + substance abuse </t>
  </si>
  <si>
    <t>In the intervention group, patients with schizophrenia accounted for 63% of the sample, with severe depression with psychotic symptoms accounting for 3%, mania with psychosis, 6%, schizoaffective disorder, 22% and ‘other nonorganic psychotic disorders’, 6%. The control group, the respective proportions were 52% with schizophrenia, 6% with severe depression with psychotic symptoms, 29% with schizoaffective disorder, and 13% with other nonorganic psychotic disorders. Both groups were equivalent in terms of demographics, duration of co-morbidity, mental health service use, psychopathology, chlorpromazine equivalent dose and baseline substance use, indicating pretreatment equivalence between the samples (Table 1).</t>
  </si>
  <si>
    <t>Principally homogeneous</t>
  </si>
  <si>
    <t>"The trial was undertaken at the Bipolar Clinic at the Østmarka Department of Psychiatry, in Trondheim, Norway. The department is the only public provider of mental health services for the inhabitants of Sør-Trøndelag County. Given the pragmatic design, inclusion criteria were broad and exclusion criteria were minimal. Individuals were eligible for inclusion if they were aged 18 years or older, and were receiving ongoing treatment by a general practitioner, psychiatrist, psychologist or health care worker (supervised by a psychiatrist) for a BD I or BD II disorder that met DSM-IV diagnostic criteria (American Psychiatric Association and American Psychiatric Association Task Force on
  DSM-IV, 2000). The only exclusion criteria were: unable or unwilling to give written informed consent, clinical evidence of
  substantial cognitive impairments or acutely elevated risk of suicide, and/or insufficient understanding of Norwegian language to
  allow participation in the therapy sessions.A total of 85 Caucasian patients were randomized to GP (n=42) or IP (n=43). The age range of the sample was 19-64 years, with a mean of 38.1 (SD=13.0). See Table 1."</t>
  </si>
  <si>
    <t>Cf. table 1, p. 3</t>
  </si>
  <si>
    <t>Personality Disorders ( Borderline and Avoidant Personality Disorder)</t>
  </si>
  <si>
    <t xml:space="preserve"> "criteria for schizophrenia (n = 46) or schizoaffective disorder (n = 1)" (p. 2)</t>
  </si>
  <si>
    <t>See table 2, p 4</t>
  </si>
  <si>
    <t>Heterogeneous</t>
  </si>
  <si>
    <t>Psycotic disorders multiple different diagnosis see table 1</t>
  </si>
  <si>
    <t>see table 1</t>
  </si>
  <si>
    <t>Chronic Depression</t>
  </si>
  <si>
    <t>see table 1, p. 957</t>
  </si>
  <si>
    <t>Not specified, but suicidal ideation/depression</t>
  </si>
  <si>
    <t>Self assesment</t>
  </si>
  <si>
    <t xml:space="preserve">
"Over the 24-month-year period, 253 individuals were referred for participation in the study. Of these, 185 subjects were enrolledin the trial: 117 men and 68 women. Of these, 122 (66%) were randomized to receive OCB and 63 (34%) were randomized toreceive TAU. Overall, the average age was 36 +/- 11.15 years; 63% of the participants were male, 26% were married or in a live-in relationship, and 50% were unemployed. Information on race and ethnic background was not collected. The type of drug and/or alcohol used during the last attempt included alcohol (66.7%), cannabis (6.3%), amphetamines (2.1%), benzodiazepines (1.0%), and other (1.0%) while 22.9% did not use any drugs or alcohol (Table 1). Within the previous 6 months before baseline, 51% of the sample overall had attempted suicide" (p. 134)
(or see table 1)</t>
  </si>
  <si>
    <t xml:space="preserve">Primary diagnosis: borderline personality disorder. </t>
  </si>
  <si>
    <t>"Demographic and clinical characteristics of participants in each condition are provided in Table 1. Twenty one participants (19 females and 2 males) were assigned to the ACT +TAU condition, and 20 (19 females and 1 male) to the TAU condition. Information on session attendance and completion of questionnaires is provided in Figure 1. The participants manifested a high level of social disadvantage, early trauma, and psychiatric disturbance (see Table 1). Forty-six percent had made a suicide attempt in the last year. Although clients with only four criteria of BPD were accepted into the study, only three of the ACT +TAU clients and two of the TAU clients had less than five criteria, and the average number of criteria met was 6.0 for ACT +TAU and 6.5 for TAU." (p. 529f)
Otherwise ee table 1, p. 529</t>
  </si>
  <si>
    <t>"The 110 study subjects were primarily female (81%) and ranged in age from 18 to 52 years. Most were currently unmarried though many had had a prior marriage or live-in relationship. Over half the patients had children, who often were flot residing with them. The majority lived with a family member. friend. or acquaintance. Most of the patients had completed high school and had a history of some form of employment albeit intermittent."(p. 193)</t>
  </si>
  <si>
    <t>Multiple. See table 1, p. 83</t>
  </si>
  <si>
    <t>All counselors at the NYC programs were asked to refer current and newly-admitted patients with a DSM-IV diagnosis of mental illness and a history of substance misuse, who were interested in DTR participation, to study staff. In Michigan, counselors were asked to refer patients with the same characteristics who had completed outpatient treatment and were interested in DTR as an aftercare program. Patients were excluded from study participation if they were younger than 18 years of age, did not comprehend or speak English, appeared intoxicated, had a diagnosis of mental retardation, showed overt psychotic symptoms, or were unable to give informed consent. Some patients reported to research staff directly (without receiving a referral from their counselor). For these patients, a lifetime history of substance misuse determined by administering the Modified Simple Screening  Instrument for Substance Abuse (Center for Substance Abuse Treatment, 1994). Patients who met eligibility criteria and who expressed interest in the study were administered an informed  consent, completed a baseline interview and donated a saliva sample for drug testing</t>
  </si>
  <si>
    <t>Inclusion criteria was any DSM-IV diagnosis of mental ilness</t>
  </si>
  <si>
    <t>Multiple types of severe mentall illness</t>
  </si>
  <si>
    <t>They are dividing the participants into the groups: depression (F3 mood [affective] disorders), anxiety (F4 Neurotic, stress-related and somatoform disorders), personality disorder (F6 Disorders of adult persinality and behavior) and psychosis. (F2 Schoziphrenia, schozitypical and delusional disorders)</t>
  </si>
  <si>
    <t>"To be eligible, participants had to: be aged 60 years or older; meet DSM-IV TR (American Psychiatric, 2000) criteria for a current diagnosis of schizophrenia, schizoaffective disorder, schizophreniform, delusional disorder, or psychotic disorder NOS; be clinically stable (as operationalized by (1) not having been admitted to a psychiatric hospital within the three months prior to assessment, (2) having had no change in antipsychotic medication dosage within four weeks prior to the baseline assessment, and (3) and ascertained to be clinically and medically stable by one the study psychiatrists); be willing and able to speak English; be able to read and converse (with corrected vision or hearing if needed); not meet criteria for a cognitive disorder or for a neurological or other medical disorder affecting the ability to participate in CBSST; not meet diagnostic criteria for bipolar disorder, current major depressive episode, or substance abuse or dependence within the six months prior to the baseline assessment except for caffeine or nicotine; and not having received electroconvulsive therapy (ECT) within six months of the baseline assessment." p. 161</t>
  </si>
  <si>
    <t>multiple types</t>
  </si>
  <si>
    <t>see table 1 page 199</t>
  </si>
  <si>
    <t>Inclusion criteria was a Diagnostic and Statistical Manual of Mental Disorders–IV Axis I or Axis II diagnosis</t>
  </si>
  <si>
    <t>mixed</t>
  </si>
  <si>
    <t>"had on average 13.5 years of education (SD=2.9), had been unemployed for nearly 4 years since their last job (M=46.3months, SD=57.1, median: 27.0), most (n=31, 78%) lived alone and two-thirds (n=28) had debts. The average level of depressive symptoms about 40 in the CES-D (Table 1) was well above the recommended cutoff for clinically relevant  depression of 37 (with possible scores from 15 to 60;  Hautzinger &amp; Bailer, 1993), and 29 participants (69%) scored above this cutoff at baseline. Recruitment was ended after including 42 participants due to continuing recruitment difficulties. Three types of current mental health service use among the 42 included participants were assessed at baseline,  with 50% (n=21) reporting to see a psychiatrist or psychotherapist, 48% (n=20) receiving care for mental health  problems from a general practitioner and 43% (n=18) taking psychiatric medication." page 335</t>
  </si>
  <si>
    <t>Inclusion criteria was "current psychological distress as indicated by scores ⩾ 13 on Kessler’s K6 Psychological Distress Scale" (p. 334) + "The average level of depressive symptoms about 40 in the CES-D (Table 1) was well above the recommended cutoff for clinically relevant depression of 37 (with possible scores from 15 to 60;  Hautzinger &amp; Bailer, 1993), and 29 participants (69%) scored above this cutoff at baseline" (p. 335)</t>
  </si>
  <si>
    <t>PTSD</t>
  </si>
  <si>
    <t>"Most participants were unemployed (77.8%) and had a low monthly income (54.4% with less than €1000/month). Alcohol, cannabis and sedatives were the most frequently abused substances. Nearly every participant (94.5%) had at least one substance dependence diagnosis and the remaining 5.5% met substance abuse criteria. About one-fifth (21.3%) reported no alcohol or substance use in at least 30 days prior to the baseline assessment [...] was higher in the RPT group (98.3%) than in the Seeking Safety (91.0%) and TAU conditions (90.6%, χ2 (2) = 6.84, p = .033) [...]
The most common lifetime traumatic experiences reported were non-sexual assault within the family, sexual contact under the age of 18 with someone at least five years older, other traumatic events, and sexual assault within thefamily. [...]
. All participants met DSM-IV criteria for either subthreshold (24.8%) or full PTSD (75.2%). Additional Axis-I disorders and lifetime suicidality were also prevalent in this sample (p. 6)</t>
  </si>
  <si>
    <t>Any severe mental ilness according to the Dutch definiton (Schizophrenia or schizoaffective disorder, other psychosis, bipolar affective disorder, depressive disorder, anxiety disorder, posttraumatic stress disorder, substance-related disorder, personality disorder, autism spectrum disorder, other)</t>
  </si>
  <si>
    <t>All participants suffered from a severe mental ilness but as a group they suffered from very different diagnoses (from schizophrenia to depression to autism)</t>
  </si>
  <si>
    <t>The 6 inclusion criteria consisted of age 18 years or older, an SMI according to the Dutch definition,34 estimated FACT [flexible assertive community treatment] team future involvement for at least 12 months of care but not more than 2 years in the past, capacity to provide written informed consent, and sufficient Dutch language skills (p. 1310). See table 1, p. 1313</t>
  </si>
  <si>
    <t>Mixed
Psychotic, affective, anxiety, and personality disorders
See Table 1 (p. 57)
"large sample of persons with major psychiatric problems." (p. 57)</t>
  </si>
  <si>
    <t>Self assesment
"Two inclusion criteria were used: self-reported psychosis, personality disorder, affective disorder, anxiety disorder, addiction problems, eating disorders, or other psychiatric problems; and self-report of having experienced disruptive periods in life from which the person was recovering." (p. 55)</t>
  </si>
  <si>
    <t>Heterogeneous 
For example, the study comprises participants with psychotic, affective, anxiety, and personality disorders (see Table 1, p. 57) 
"large sample of persons with major psychiatric problems." (p. 57)</t>
  </si>
  <si>
    <t>Mixed
For example, the study comprises participants with psychotic, affective, anxiety, and personality disorders (see Table 1, p. 57) 
"large sample of persons with major psychiatric problems." (p. 57)</t>
  </si>
  <si>
    <t>Diagnosis and mental health and social issues
"Peer-run services, such as
“Recovery Is Up to You,” add value to recovery-oriented mental health care because they offer participants an opportunity to make an active start on their recovery." (abstract, p. 54)
"Furthermore, loneliness was measured because several studies have shown that social relationships support recovery" (p. 55)
See Table 1 (p. 57) for extentive information</t>
  </si>
  <si>
    <t>Depression and anxiety
"In a secondary analysis of
a randomized controlled trial developed to treat depression and anxiety in older adults (as the pri mary aim), we examined the impact of a group CBT program on feelings of loneliness over time." (2021, p. 441)</t>
  </si>
  <si>
    <t>Pre-diagnosed
"All participants met DSMIV
criteria or subclinical criteria (see below for definition) for both
an anxiety and a mood disorder, with either anxiety or mood being
the primary (most interfering) problem." (2013, p. 780)
"The majority (87.10%; n = 54)
met full DSM-IV diagnosis criteria for both an anxiety and unipolar mood disorder, with 9.68% (n = 6) meeting full diagnostic criteria for their primary disorder and subthreshold criteria for their secondary diagnosis, and 3.23% (n = 2) having subthreshold symptoms for both their primary and secondary diagnosis." (2021, p. 441)</t>
  </si>
  <si>
    <t>Homogeneous 
"adults aged over 60 years with
comorbid anxiety and depression" (2013, p. 779) 
"In fact, the vast majority of the sample met full DSM-IV criteria for both an anxiety disorder and a mood disorder with either problem being primary (N ¼ 55), with the remaining 7 participants having at least subclinical levels of anxiety, depression or both." (2013, p. 780)
"In this study, participants with clinical severity ratings of 3 or above for their main anxiety disorder and main mood disorder were included in the study, as we were interested in also treating subclinical anxiety and depression; however, 89% of the sample met full diagnostic criteria for both an anxiety and mood disorder." (2013, p. 780)
"This study involved secondary data analysis from 62 older adults (aged 60–84, M = 67.44, SD = 6.19; 64.52% female) " (2021,p. 441)</t>
  </si>
  <si>
    <t>Shared common diagnosis and age
"This study involved secondary data analysis from 62 older adults (aged 60–84, M = 67.44, SD = 6.19;
64.52% female) from a randomized control trial for the treatment of depression and anxiety (Wuthrich &amp;
Rapee, 2013). Participants were recruited from patient flow at the Center for Emotional Health Clinic at
Macquarie University, and advertisements in local newspapers and community organizations. Partici
pant eligibility was based on being aged 60 years or over and having symptoms of both a DSM-IV anxiety
and unipolar mood disorder, with either being the primary  (2021, p. 441)</t>
  </si>
  <si>
    <t>Older people with depression and anxiety 
"adults aged over 60 years with
comorbid anxiety and depression" (2013, p. 779) 
"The majority (87.10%; n = 54) met full DSM-IV T16diagnosis criteria for both an anxiety and unipolar mood disorder, with 9.68% (n = 6) meeting
full diagnostic criteria for their primary disorder and subthreshold criteria for their secondary diagnosis, and 3.23% (n = 2) having subthreshold symptoms
for both their primary and secondary diagnosis." (2021, p. 441)</t>
  </si>
  <si>
    <t>Being &gt; 60 years old?</t>
  </si>
  <si>
    <t xml:space="preserve"> Personality disorder such as schzoid, borderline, antisocial. Pp. 375</t>
  </si>
  <si>
    <t xml:space="preserve">Principally homogenous because the sample consist of predominently men, but within the men that are sampled they are very similar in characteristics pp. 373 </t>
  </si>
  <si>
    <t>"Inclusion criteria for the study were at least 18 years old, alcohol or drug use in the past 30 days, diagnosis of personality disorder, ability to read and comprehend consents and assessments, and willingness to be a research participant (ie, randomization, audiotaping, urinalysis, and attendance at treatment and research assessment and followup appointments)." Pp. 372</t>
  </si>
  <si>
    <r>
      <t xml:space="preserve">Pre-diagnosed
"Inclusion criteria were (1) being 18 years or above, (2) being a Syrian with a temporary protection status granted by the government (allowing them to legally stay in Turkey and access basic services), (3) being an Arabic speaker, (4) </t>
    </r>
    <r>
      <rPr>
        <b/>
        <sz val="10"/>
        <color theme="1"/>
        <rFont val="Calibri"/>
        <family val="2"/>
        <scheme val="minor"/>
      </rPr>
      <t>having elevated levels of psychological stress (score &gt; 15 on the Kessler-10 Psychological Distress Scale) [31, 32] and and (5) having reduced psychosocial functioning determined by scoring
higher than 16 on the WHO Disability Scale (WHODAS)</t>
    </r>
    <r>
      <rPr>
        <sz val="10"/>
        <color theme="1"/>
        <rFont val="Calibri"/>
        <family val="2"/>
        <scheme val="minor"/>
      </rPr>
      <t>" (p 3)</t>
    </r>
  </si>
  <si>
    <t>"Participants were aged 18 years or over and had a clinical diagnosis of schizophrenia, confirmed by an examination of case notes using operationalised criteria. To take part in the study, potential participants had to be willing to take part in group therapy and to provide written informed consent. We excluded those with severe cognitive impairment, those who were unable to speak sufficient English to complete the baseline assessment, and those already receiving art or another creative therapy." // " "In total, 649 people were assessed for the study over a 19 month period between February 2007 and August 2008. Of these, 417 (64%) were randomised, 361 (87%) were followed up at 12 months, and 355 (85%) were followed up at 24 months." p.3</t>
  </si>
  <si>
    <t>Beames et al. (2020)</t>
  </si>
  <si>
    <t>Bond et al. (2015)</t>
  </si>
  <si>
    <t>Bozzer et al. (1999)</t>
  </si>
  <si>
    <t>Schrank et al. (2016)</t>
  </si>
  <si>
    <t>Volpe et al. (2015)</t>
  </si>
  <si>
    <t>Weiss et al. (2000)</t>
  </si>
  <si>
    <t>Wojtalik et al. (2019)</t>
  </si>
  <si>
    <t>Tjaden et al. (2021)</t>
  </si>
  <si>
    <t>primary diagnosis of schizophrenia</t>
  </si>
  <si>
    <t>Twenty-seven participants with a primary diagnosis of schizophrenia attending community mental health services (Figure 1) were referred with randomisation of 16 outpatients (11 male, 5 female) aged between 18 and 65 years (mean = 38.63 years, SD = 6.54 years). Eleven participants withdrew or were withdrawn prior to randomisation (Figure 1). Participants were referred by their case manager or consultant</t>
  </si>
  <si>
    <t>Himle et al. (2014)</t>
  </si>
  <si>
    <t>Hilden et al. (2021)</t>
  </si>
  <si>
    <t>Depression ; Social anxiety</t>
  </si>
  <si>
    <t>Other psychotic disorder</t>
  </si>
  <si>
    <r>
      <t>"</t>
    </r>
    <r>
      <rPr>
        <i/>
        <sz val="10"/>
        <rFont val="Calibri"/>
        <family val="2"/>
        <scheme val="minor"/>
      </rPr>
      <t>in the present research we were interested in recruiting people with clinically impairing levels of depression,and this includes those with at least mild depression. No one was excluded on the basis of comorbid conditions that are common in mental illness (e.g., anxiety, autism spectrum disorders), or in receipt of alternative treatment. Those presenting with moderate to severe mental illness symptoms were informed about, and encour_x0002_aged to seek, adjunct treatment while completing the trial, if they were not doing so already. Assessment of eligibility was under_x0002_taken for 199 people. Of these, 79 people did not meet inclusion criteria, declined or were unable to participate, did not complete screening/baseline measures, or could not be contacted after com_x0002_pleting screening and baseline measures // The mean age of participants was 31.06 years (SD _x0002_ 12.80) and the majority in each condition were female (64%), Australian (69%), and Caucasian (74%). Among these participants, 59% had a formal mental health diagnosis, and 59% were receiving some form of adjunct mental health treatment (pharmacological and/or psychological)</t>
    </r>
    <r>
      <rPr>
        <sz val="10"/>
        <rFont val="Calibri"/>
        <family val="2"/>
        <scheme val="minor"/>
      </rPr>
      <t>" p. 789</t>
    </r>
  </si>
  <si>
    <t>Not an inclusion criteria but all participants were unemploed</t>
  </si>
  <si>
    <t>"Patients had a DSM-IV–based chart diagnosis of schizophrenia, schizoaffective disorder, or psychotic mood disorder" (p.18)</t>
  </si>
  <si>
    <t>"A majority of the participants were middle-aged white men who had completed high school (see Table 1). Almost all of the participants (100% in the FAST group and 94% in the TAU group) were on antipsychotics and had been on stable doses of medications for at least several weeks" (p. 18)
Otherwise see table 1, p. 19</t>
  </si>
  <si>
    <t>Chronic psychotic illness</t>
  </si>
  <si>
    <t>Twenty participants were assessed as eligible to participate, having met criteria for
Avoidant, Dependent, Obsessive-Compulsive, Narcissistic, Paranoid, Passive-Aggressive,
and Depressive PD. Participants meeting PDNOS criteria (as diagnosed for meeting at least
10 criteria at SCID-II) were included, provided that criteria came from these and schizoid
PD. Exclusion criteria were as follows: intellectual disability, organic brain disease or severe somatic disease impairing cerebral function, psychosis, bipolar I disorder, or
substance abuse severe enough to require specialized treatment. Antisocial and
schizotypal PDs were also excluded. Patients hospitalized in the month before the
beginning of the programme were excluded, as were patients with prominent emotional
dysregulation, intense suicidality, or physical aggression towards others.</t>
  </si>
  <si>
    <t>Demographic details are listed in Table 1. Participants were aged between 19 and 25 and
were unmarriedThe 20 participants meeting inclusion criteria had the following diagnosis of PD (multiple PD diagnosis could be assigned): 11 Depressive PD, 6 Dependent PD, 6 Avoidant PD, 1 Narcissistic PD, 1 Paranoid PD, 4 PD NOS. Symptoms were assessed with the MINI International Neuropsychiatric Interview (Sheehan et al., 1998): 11 had Depressive disorders, 5 had Generalized Anxiety Disorder, 4 had panic attacks, and 2 had social phobia</t>
  </si>
  <si>
    <t>"Eligible participants were Canadian citizens at least 19 years of age who met criteria for homelessness or precarious housing and current mental disorder status. Informed consent required that individuals were made aware that randomization would involve assignment to either a pre-specified intervention that included housing or to usual care consisting of existing services and support. Participants and interviewers were therefore not blinded to the results of randomization." (Somers et al., 2013: 3)</t>
  </si>
  <si>
    <t>Inclusion criteria was presence of a mental disorder as defined by the mini international neuropsychiatric interview</t>
  </si>
  <si>
    <t>See table 1, p. 1185</t>
  </si>
  <si>
    <t>Unipolar Depression</t>
  </si>
  <si>
    <t>Pre-diagagnosed</t>
  </si>
  <si>
    <t>See table 1</t>
  </si>
  <si>
    <t>Primary clinical diagnosis of psychosis defined as schizophrenia and other psychoses including schizoaffective and delusional disorder but not depressive psychosis or psychosis due to substance misuse</t>
  </si>
  <si>
    <t>Primarily schizoprenia; 
But also: Affective disorders, Anxiety disorders Personality disorders</t>
  </si>
  <si>
    <t>Principally heterogeneous</t>
  </si>
  <si>
    <t>Unclear;
All participants were currently receiving outpatient psychosocial services at four Non-Profit Human Organizations (NPOs) within the National Health System Network that provide comprehensive care for people with SPC (p. 105)</t>
  </si>
  <si>
    <t>See table 2, p. 107</t>
  </si>
  <si>
    <t>see page 169</t>
  </si>
  <si>
    <t>Bipolar disorder + substance dependence</t>
  </si>
  <si>
    <t>The participants were diagnosed with bipolar I disorder, bipolar II disorder or bipolar disorder not otherwise specified + were diagnosed as both drug and alcohol dependent, drug dependent alone or alcohol dependent alone.</t>
  </si>
  <si>
    <t>a diagnosis of schizophrenia, schizoaffective disorder, or schizophreniform disorder (p. 502)</t>
  </si>
  <si>
    <t>"Overall, the participants were in their mid-20s (24.865.4 years), and most were male (N576, 75%), had been ill for 3.762.3 years, and had somecollege education (N569 of 94, 73%). Most participants (.75%) had a schizophrenia diagnosis, and about one-halfhad a history of substance misuse" See table 1, p. 504</t>
  </si>
  <si>
    <t>Inclusion criteria was: "significant social and cognitive disability determined by the Cognitive Style and Social Cognition Eligibility Interview" (p. 502)</t>
  </si>
  <si>
    <t>Schizophrenia,Schizoaffective, Bipolar I, Bipolar II, Major depression</t>
  </si>
  <si>
    <t>Participants were predominantly African American men in their late 40s, diagnosed with schizophrenia-spectrum disorders,with no more than a high school education. Participants randomized to study conditions did not
differ on demographic characteristics, with the exception of age at first hospitalization, which was significantly lower for participants assigned to the experimental group</t>
  </si>
  <si>
    <t>"Participants met the criteria for "elevated" internalized stigma" (p. 249)</t>
  </si>
  <si>
    <t>Daniels &amp; Roll (1998)</t>
  </si>
  <si>
    <t>Gonzalez &amp; Prihoda (2007)</t>
  </si>
  <si>
    <t>Gutman et al. (2019)</t>
  </si>
  <si>
    <t>Hagen et al. (2005)</t>
  </si>
  <si>
    <t>Jacob et al. (2010)</t>
  </si>
  <si>
    <t>James et al. (2004)</t>
  </si>
  <si>
    <t>Kallestad et al. (2016)</t>
  </si>
  <si>
    <t>Kanie et al. (2019)</t>
  </si>
  <si>
    <t>Kvarstein et al. (2013)</t>
  </si>
  <si>
    <t>Lim et al. (2020)</t>
  </si>
  <si>
    <t>Madigan et al. (2013)</t>
  </si>
  <si>
    <t>McCay et al. (2007)</t>
  </si>
  <si>
    <t>Morton et al. (2012)</t>
  </si>
  <si>
    <t>Rabenstein et al. (2015)</t>
  </si>
  <si>
    <t>Rajji et al. (2022)</t>
  </si>
  <si>
    <t>Saloheimo et al. (2016)</t>
  </si>
  <si>
    <t>Schäfer et al. (2019)</t>
  </si>
  <si>
    <t>Michalak et al. (2015)</t>
  </si>
  <si>
    <t xml:space="preserve">Morley et al. (2014)
</t>
  </si>
  <si>
    <t>Munroe-Blum &amp; Marziali (1995)</t>
  </si>
  <si>
    <t>Rosenblum et al. (2014)</t>
  </si>
  <si>
    <t>Russinova et al. (2018)</t>
  </si>
  <si>
    <t>Rüsch et al. (2019)</t>
  </si>
  <si>
    <t>Trial Registration
ISRCTN57595077; ISRCTN66721740
OBS multiple publications (Russolillo 2014, Somers 2013, Somers 2017, Patterson 2014)</t>
  </si>
  <si>
    <t>Functional psychosis (either schizophrenia, schizoaffective disorder or bipolar disorder)</t>
  </si>
  <si>
    <t>Subjects were recruited among patients consecutively
admitted to the inpatient ward of the Department of Mental
Health of the University of Naples SUN. The clinical diag_x0002_nosis of functional psychosis (either schizophrenia,
schizoaffective disorder or bipolar disorder) was based on
the DSM-IV-TR criteria (APA, 2000) and confirmed by the
Structured Clinical Interview for DSM-IV-Patient version.
Patients had to fulfil the following inclusion criteria: (1)
operationalized definition of ‘severe and persistent mental
illness’, according to the criteria proposed by Ruggeri,
Leese, Thornicroft, Bisoffi and Tansella (2000), which
included (1.a) diagnosis of any non-organic (either affective
or non-affective) psychosis, (1.b) duration of treatment
longer than 2 years and (1.c) a global assessment of
functioning (APA, 2000) score of 70 or less; (2) right-hand_x0002_edness, verified using the Oldfield Questionnaire (Oldfield, 1971); (3) negative history of head trauma with loss of
consciousness, epilepsy, substance abuse or dependence
in the year preceding the recruitment; (4) age range of
18–65 years; (5) educational level not below 5 years;
(6) a Mini-Mental State Examination (Folstein, Folstein,
&amp; McHugh, 1975) total score of ≥16; and (7) written
informed consent to participate in the experimental
procedures.</t>
  </si>
  <si>
    <t>Separates the participants in mood disorder, personality disorder, and psychotic disorder</t>
  </si>
  <si>
    <t>Mood disorder, personality disorder or psychotic disorder</t>
  </si>
  <si>
    <t>As shown in Table 2, study subjects were predomi nantly minority (95%) and male (63%), with an average age of 40 (range 21 56). Most had never married (75%), and half (52%) had less than a high school (or GED) education. All subjects had SCID diagnoses of substance abuse/dependence (100% drug and 56% alcohol) plus at least one mental disorder (79% Axis I and 77% Axis II). Over two thirds (67%) had a mood disorder; 77% had a personality disorder, and 46% had a psychotic disorder. Forty-three percent described their health as ‘‘fair’’ or ‘‘poor,’’ and 16% said their health was worse than it was a year before the residential baseline interview. Over half (51%) reported ever having hepatitis (A through C), 45% any sexually transmitted disease (STD), 25% genital herpes, and
27% pneumonia. Other indicators of dysfunction included a lifetime history of trauma/abuse (44%), a criminal conviction (77%), incarceration (60%), lit eral homelessness (58%), and/or a history of intrave nous drug use (49%).</t>
  </si>
  <si>
    <t>self-report of having experienced disruptive periods in life from which the person was recovering</t>
  </si>
  <si>
    <t>Participants lived i residential group homes</t>
  </si>
  <si>
    <t>"The aims of this study are to compare the long-term effectiveness (...) in a general clinical setting where patients with repeated psychiatric admissions, syndromal or sub-syndromal symptoms, and ‘harmful’ substance use could be included." (p. 33) --&gt; but not an inclusion criteria</t>
  </si>
  <si>
    <t>Substance abuse disorder was included as a diagnosis but not an inclusion criteria</t>
  </si>
  <si>
    <t>Chronic medical condition was HIV/AIDS</t>
  </si>
  <si>
    <t>Inclusion criteria were "(4) having elevated levels of psychological stress (score &gt; 15 on the Kessler-10 Psychological Distress Scale) and (5) having reduced psychosocial functioning determined by scoring higher than 16 on the WHO Disability Scale (WHODAS)" (p 3)</t>
  </si>
  <si>
    <t>Described as "emotional disorders". Exclusion criteria was severe major depressive disorder</t>
  </si>
  <si>
    <t>"Inclusion criteria was presence of a serious mental illness"</t>
  </si>
  <si>
    <t xml:space="preserve">"Other" or "Unknown" or "Not specified" </t>
  </si>
  <si>
    <t>Only cluster C personality disorders. 3/32 participants had a eating disorder, could potentially be categorized as other</t>
  </si>
  <si>
    <t>Only social anxiety</t>
  </si>
  <si>
    <t xml:space="preserve">Among participants with personality disorders only avoidant personality disorder was included </t>
  </si>
  <si>
    <t>Complex anxiety, depression, PTSD and other non-psychotic disorders
"we recruited participants from a secondary mental health service for people with depression, anxiety, post-traumatic stress disorder and related non-psychotic disorders" (p. 3)</t>
  </si>
  <si>
    <t>Shared Social problem(s)/challenge(s) (loneliness in addition to mental health issues)</t>
  </si>
  <si>
    <t>We recruited 40 trial participants, n = 20 at each site. Participants were required to meet a minimum threshold score for loneliness of two points on the six-item De Jong Gierveld loneliness scale [15] in initial screening. Participants were also required to be aged 18 or over and currently on the caseload of a secondary mental health service for people with depression or anxiety. People were excluded if they lacked decision-making capacity to consent to take part in the trial, were currently using mental health inpatient or crisis services, were assessed by the clinical team as posing a risk of harm to others such that meetings with researchers or a Navigator were not recommended, or could not communicate in English.
The socio-demographic characteristics of trial participants are described in Table 1. Nearly two thirds of participants were from White ethnic groups (just under half were White British); nearly three quarters were female; and their mean age was 43 (range 19–69). Nearly half of participants lived alone; only one participant was married or cohabiting and only two were in paid employment. 80% (n = 32) had a primary diagnosis of anxiety or depression. (pp. 7f)</t>
  </si>
  <si>
    <t>Depressive disorders</t>
  </si>
  <si>
    <t>including: Schizophrenia, Schizophreniform disorder, Bipolar Disordera,Schizoaffective disorder, Delusional disorder,Brief psychotic disorder,Major depressive disorder (with psychotic features),Substance-induced psychosis,Psychosis not otherwise specified</t>
  </si>
  <si>
    <t>Only chronic depression</t>
  </si>
  <si>
    <t>Schizophrenia or other primary psychotic disorders</t>
  </si>
  <si>
    <t>Inclusion criteria was "Any severe mental ilness according to the Dutch definiton". 5.1% of total sample was diagnosed with autism spectrum disorder</t>
  </si>
  <si>
    <t>"the most common patient profile [...] presenting symptoms of at least three common disorders (depression, anxiety, and somatic" (p. 3339)</t>
  </si>
  <si>
    <t>"The most common patient profile was a married woman in her early 40s (mean age, 43.6; S.D., 12.3), employed part-time, earning less than €24 000 annually and presenting symptoms of at least three common disorders (depression, anx iety, and somatic)." (p. 3339)
See table 1, p. 3341</t>
  </si>
  <si>
    <t>Social anxiety as inclusion criteria. Comorbid diagnoses present in sample: Depression ; PTSD ; GAD ; OCD ; Panic disorder ; Bipolar disorder ; Psychotic disorder ; special phobia</t>
  </si>
  <si>
    <t xml:space="preserve">Depression with psychotic symptoms and mania with psychotis </t>
  </si>
  <si>
    <t xml:space="preserve">High comorbidity of major depressive disorder and bipolar disorder. Schozoaffective disorder, panic disorder, and depression - other were also present in sample </t>
  </si>
  <si>
    <t>Bækkelund et al. (2022)</t>
  </si>
  <si>
    <t>Dissociative Identity Disorder or Other Specified Dissociative Disorders + referral for reported trauma
histories or trauma-related difficulties</t>
  </si>
  <si>
    <t>See table 2, p. 7 and table 3, p. 8</t>
  </si>
  <si>
    <t>Dissociative Identity Disorder</t>
  </si>
  <si>
    <t>Bond et al. (1991)</t>
  </si>
  <si>
    <t xml:space="preserve">Clients were chosen who were (1) between the ages of 18 and 45; (2) 
chronically mentally ill, according to the IDMH definition; (3) had a DSM 
III-R diagnosis of substance abuse or dependence, or had documented evi_x0002_dence of substance abuse/use; and (4) met at least one of the criteria from a 
list suggesting extensive use of hospital or crisis services over the previous 
year (e.g., two psychiatric hospitalizations, jail stays, visits to emergency 
rooms, or stays in a respite care group home). </t>
  </si>
  <si>
    <t>Principally homogenous</t>
  </si>
  <si>
    <t>chronically mentally ill, according to the IDMH definition and had a DSM III-R diagnosis of substance abuse or dependence, or had documented evidence of substance abuse/use (p. 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</si>
</sst>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theme="1"/>
      <name val="Calibri"/>
      <family val="2"/>
      <scheme val="minor"/>
    </font>
    <font>
      <b/>
      <sz val="10"/>
      <color theme="1"/>
      <name val="Calibri"/>
      <family val="2"/>
      <scheme val="minor"/>
    </font>
    <font>
      <sz val="11"/>
      <color rgb="FF000000"/>
      <name val="Calibri"/>
      <family val="2"/>
    </font>
    <font>
      <sz val="10"/>
      <name val="Calibri"/>
      <family val="2"/>
      <scheme val="minor"/>
    </font>
    <font>
      <b/>
      <sz val="10"/>
      <color rgb="FF000000"/>
      <name val="Calibri"/>
      <family val="2"/>
      <scheme val="minor"/>
    </font>
    <font>
      <sz val="10"/>
      <color rgb="FF000000"/>
      <name val="Calibri"/>
      <family val="2"/>
      <scheme val="minor"/>
    </font>
    <font>
      <i/>
      <sz val="10"/>
      <color theme="1"/>
      <name val="Calibri"/>
      <family val="2"/>
      <scheme val="minor"/>
    </font>
    <font>
      <i/>
      <sz val="10"/>
      <name val="Calibri"/>
      <family val="2"/>
      <scheme val="minor"/>
    </font>
  </fonts>
  <fills count="11">
    <fill>
      <patternFill patternType="none"/>
    </fill>
    <fill>
      <patternFill patternType="gray125"/>
    </fill>
    <fill>
      <patternFill patternType="solid">
        <fgColor theme="9" tint="0.59999389629810485"/>
        <bgColor indexed="64"/>
      </patternFill>
    </fill>
    <fill>
      <patternFill patternType="solid">
        <fgColor theme="4" tint="0.59999389629810485"/>
        <bgColor indexed="64"/>
      </patternFill>
    </fill>
    <fill>
      <patternFill patternType="solid">
        <fgColor rgb="FFFFFFFF"/>
        <bgColor indexed="64"/>
      </patternFill>
    </fill>
    <fill>
      <patternFill patternType="solid">
        <fgColor rgb="FFFFFFFF"/>
        <bgColor rgb="FFFFFFFF"/>
      </patternFill>
    </fill>
    <fill>
      <patternFill patternType="solid">
        <fgColor theme="4" tint="0.39997558519241921"/>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rgb="FFFF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s>
  <cellStyleXfs count="1">
    <xf numFmtId="0" fontId="0" fillId="0" borderId="0"/>
  </cellStyleXfs>
  <cellXfs count="43">
    <xf numFmtId="0" fontId="0" fillId="0" borderId="0" xfId="0"/>
    <xf numFmtId="0" fontId="1" fillId="0" borderId="0" xfId="0" applyFont="1" applyBorder="1" applyAlignment="1">
      <alignment horizontal="center" vertical="top"/>
    </xf>
    <xf numFmtId="0" fontId="5" fillId="0" borderId="0" xfId="0" applyFont="1" applyBorder="1" applyAlignment="1">
      <alignment horizontal="center" vertical="top" wrapText="1"/>
    </xf>
    <xf numFmtId="0" fontId="5" fillId="0" borderId="0" xfId="0" applyFont="1" applyBorder="1" applyAlignment="1">
      <alignment horizontal="center" vertical="top"/>
    </xf>
    <xf numFmtId="0" fontId="1" fillId="0" borderId="0" xfId="0" applyFont="1" applyBorder="1" applyAlignment="1">
      <alignment horizontal="center" vertical="top" wrapText="1"/>
    </xf>
    <xf numFmtId="0" fontId="6" fillId="0" borderId="0" xfId="0" applyFont="1" applyBorder="1" applyAlignment="1">
      <alignment horizontal="center" vertical="top" wrapText="1"/>
    </xf>
    <xf numFmtId="0" fontId="6" fillId="5" borderId="0" xfId="0" applyFont="1" applyFill="1" applyBorder="1" applyAlignment="1">
      <alignment horizontal="center" vertical="top" wrapText="1"/>
    </xf>
    <xf numFmtId="0" fontId="4" fillId="0" borderId="0" xfId="0" applyFont="1" applyBorder="1" applyAlignment="1">
      <alignment horizontal="center" vertical="top" wrapText="1"/>
    </xf>
    <xf numFmtId="0" fontId="7" fillId="0" borderId="0" xfId="0" applyFont="1" applyBorder="1" applyAlignment="1">
      <alignment horizontal="center" vertical="top" wrapText="1"/>
    </xf>
    <xf numFmtId="0" fontId="1" fillId="0" borderId="0" xfId="0" applyFont="1" applyAlignment="1">
      <alignment horizontal="center" vertical="top"/>
    </xf>
    <xf numFmtId="0" fontId="1" fillId="0" borderId="0" xfId="0" applyFont="1" applyAlignment="1">
      <alignment horizontal="center" vertical="top" wrapText="1"/>
    </xf>
    <xf numFmtId="0" fontId="4" fillId="0" borderId="2" xfId="0" applyFont="1" applyBorder="1" applyAlignment="1">
      <alignment horizontal="center" vertical="top" wrapText="1"/>
    </xf>
    <xf numFmtId="0" fontId="6" fillId="0" borderId="0" xfId="0" applyFont="1" applyAlignment="1">
      <alignment horizontal="center" vertical="top" wrapText="1"/>
    </xf>
    <xf numFmtId="0" fontId="6" fillId="0" borderId="0" xfId="0" applyFont="1" applyAlignment="1">
      <alignment horizontal="center" vertical="top"/>
    </xf>
    <xf numFmtId="0" fontId="4" fillId="0" borderId="0" xfId="0" applyFont="1" applyAlignment="1">
      <alignment horizontal="center" vertical="top" wrapText="1"/>
    </xf>
    <xf numFmtId="0" fontId="7" fillId="0" borderId="0" xfId="0" applyFont="1" applyAlignment="1">
      <alignment horizontal="center" vertical="top" wrapText="1"/>
    </xf>
    <xf numFmtId="0" fontId="4" fillId="5" borderId="0" xfId="0" applyFont="1" applyFill="1" applyBorder="1" applyAlignment="1">
      <alignment horizontal="center" vertical="top" wrapText="1"/>
    </xf>
    <xf numFmtId="0" fontId="8" fillId="5" borderId="0" xfId="0" applyFont="1" applyFill="1" applyBorder="1" applyAlignment="1">
      <alignment horizontal="center" vertical="top" wrapText="1"/>
    </xf>
    <xf numFmtId="0" fontId="1" fillId="0" borderId="2" xfId="0" applyFont="1" applyBorder="1" applyAlignment="1">
      <alignment horizontal="center" vertical="top" wrapText="1"/>
    </xf>
    <xf numFmtId="0" fontId="1" fillId="4" borderId="2" xfId="0" applyFont="1" applyFill="1" applyBorder="1" applyAlignment="1">
      <alignment horizontal="center" vertical="top" wrapText="1"/>
    </xf>
    <xf numFmtId="0" fontId="2" fillId="0" borderId="0" xfId="0" applyFont="1" applyBorder="1" applyAlignment="1">
      <alignment horizontal="center" vertical="center"/>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4" fillId="0" borderId="0" xfId="0" applyFont="1" applyBorder="1" applyAlignment="1">
      <alignment horizontal="center" vertical="center" wrapText="1"/>
    </xf>
    <xf numFmtId="0" fontId="4" fillId="0" borderId="0" xfId="0" applyFont="1" applyBorder="1" applyAlignment="1">
      <alignment horizontal="center" vertical="center"/>
    </xf>
    <xf numFmtId="0" fontId="1" fillId="4" borderId="0" xfId="0" applyFont="1" applyFill="1" applyBorder="1" applyAlignment="1">
      <alignment horizontal="center" vertical="center" wrapText="1"/>
    </xf>
    <xf numFmtId="0" fontId="6"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4" fillId="4" borderId="0" xfId="0" applyFont="1" applyFill="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1" fillId="0" borderId="3" xfId="0" applyFont="1" applyBorder="1" applyAlignment="1">
      <alignment horizontal="center" vertical="top" wrapText="1"/>
    </xf>
    <xf numFmtId="0" fontId="1" fillId="0" borderId="2" xfId="0" applyFont="1" applyBorder="1" applyAlignment="1">
      <alignment horizontal="center" vertical="center" wrapText="1"/>
    </xf>
    <xf numFmtId="0" fontId="4" fillId="0" borderId="2" xfId="0" applyFont="1" applyBorder="1" applyAlignment="1">
      <alignment horizontal="center" vertical="center" wrapText="1"/>
    </xf>
    <xf numFmtId="0" fontId="6" fillId="0" borderId="0" xfId="0" applyFont="1" applyBorder="1" applyAlignment="1">
      <alignment horizontal="center" vertical="center"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10"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R:\Kopi%20af%20Final%20descriptive%20coding%20scheme-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kopi%20kop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oup-based Interventions"/>
      <sheetName val="Info"/>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oup-based Interventions"/>
      <sheetName val="Info"/>
    </sheetNames>
    <sheetDataSet>
      <sheetData sheetId="0"/>
      <sheetData sheetId="1"/>
    </sheetDataSet>
  </externalBook>
</externalLink>
</file>

<file path=xl/theme/theme1.xml><?xml version="1.0" encoding="utf-8"?>
<a:theme xmlns:a="http://schemas.openxmlformats.org/drawingml/2006/main" name="Office-tema">
  <a:themeElements>
    <a:clrScheme name="Kont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ont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2"/>
  <sheetViews>
    <sheetView tabSelected="1" zoomScaleNormal="100" workbookViewId="0">
      <pane xSplit="1" topLeftCell="G1" activePane="topRight" state="frozen"/>
      <selection pane="topRight" activeCell="A44" sqref="A42:XFD44"/>
    </sheetView>
  </sheetViews>
  <sheetFormatPr defaultColWidth="9.140625" defaultRowHeight="99.95" customHeight="1" x14ac:dyDescent="0.25"/>
  <cols>
    <col min="1" max="1" width="9.140625" style="23"/>
    <col min="2" max="2" width="27.5703125" style="1" customWidth="1"/>
    <col min="3" max="3" width="31.140625" style="1" customWidth="1"/>
    <col min="4" max="4" width="28.28515625" style="1" customWidth="1"/>
    <col min="5" max="5" width="28.42578125" style="1" customWidth="1"/>
    <col min="6" max="6" width="27.85546875" style="1" customWidth="1"/>
    <col min="7" max="7" width="9.28515625" style="23" customWidth="1"/>
    <col min="8" max="14" width="9.140625" style="23"/>
    <col min="15" max="15" width="10.85546875" style="23" customWidth="1"/>
    <col min="16" max="30" width="9.140625" style="23"/>
    <col min="31" max="32" width="9.140625" style="24"/>
    <col min="33" max="16384" width="9.140625" style="23"/>
  </cols>
  <sheetData>
    <row r="1" spans="1:32" ht="57" customHeight="1" x14ac:dyDescent="0.25">
      <c r="A1" s="20" t="s">
        <v>55</v>
      </c>
      <c r="B1" s="2" t="s">
        <v>22</v>
      </c>
      <c r="C1" s="2" t="s">
        <v>23</v>
      </c>
      <c r="D1" s="3" t="s">
        <v>0</v>
      </c>
      <c r="E1" s="2" t="s">
        <v>24</v>
      </c>
      <c r="F1" s="2" t="s">
        <v>25</v>
      </c>
      <c r="G1" s="39" t="s">
        <v>255</v>
      </c>
      <c r="H1" s="38" t="s">
        <v>1</v>
      </c>
      <c r="I1" s="38" t="s">
        <v>2</v>
      </c>
      <c r="J1" s="40" t="s">
        <v>252</v>
      </c>
      <c r="K1" s="42" t="s">
        <v>3</v>
      </c>
      <c r="L1" s="40" t="s">
        <v>4</v>
      </c>
      <c r="M1" s="40" t="s">
        <v>5</v>
      </c>
      <c r="N1" s="21" t="s">
        <v>6</v>
      </c>
      <c r="O1" s="41" t="s">
        <v>245</v>
      </c>
      <c r="P1" s="41" t="s">
        <v>7</v>
      </c>
      <c r="Q1" s="41" t="s">
        <v>8</v>
      </c>
      <c r="R1" s="39" t="s">
        <v>180</v>
      </c>
      <c r="S1" s="41" t="s">
        <v>10</v>
      </c>
      <c r="T1" s="41" t="s">
        <v>265</v>
      </c>
      <c r="U1" s="21" t="s">
        <v>11</v>
      </c>
      <c r="V1" s="22" t="s">
        <v>12</v>
      </c>
      <c r="W1" s="22" t="s">
        <v>13</v>
      </c>
      <c r="X1" s="22" t="s">
        <v>14</v>
      </c>
      <c r="Y1" s="22" t="s">
        <v>15</v>
      </c>
      <c r="Z1" s="22" t="s">
        <v>16</v>
      </c>
      <c r="AA1" s="22" t="s">
        <v>17</v>
      </c>
      <c r="AB1" s="22" t="s">
        <v>18</v>
      </c>
      <c r="AC1" s="22" t="s">
        <v>19</v>
      </c>
      <c r="AD1" s="22" t="s">
        <v>20</v>
      </c>
      <c r="AE1" s="22" t="s">
        <v>9</v>
      </c>
      <c r="AF1" s="22" t="s">
        <v>21</v>
      </c>
    </row>
    <row r="2" spans="1:32" ht="99.95" hidden="1" customHeight="1" x14ac:dyDescent="0.25">
      <c r="A2" s="24" t="s">
        <v>30</v>
      </c>
      <c r="B2" s="4" t="s">
        <v>26</v>
      </c>
      <c r="C2" s="4" t="s">
        <v>165</v>
      </c>
      <c r="D2" s="4" t="s">
        <v>27</v>
      </c>
      <c r="E2" s="4" t="s">
        <v>28</v>
      </c>
      <c r="F2" s="4" t="s">
        <v>29</v>
      </c>
      <c r="O2" s="23">
        <v>1</v>
      </c>
      <c r="U2" s="24" t="s">
        <v>242</v>
      </c>
      <c r="AD2" s="23">
        <v>1</v>
      </c>
    </row>
    <row r="3" spans="1:32" ht="99.95" hidden="1" customHeight="1" x14ac:dyDescent="0.25">
      <c r="A3" s="24" t="s">
        <v>31</v>
      </c>
      <c r="B3" s="5" t="s">
        <v>162</v>
      </c>
      <c r="C3" s="6" t="s">
        <v>57</v>
      </c>
      <c r="D3" s="5" t="s">
        <v>163</v>
      </c>
      <c r="E3" s="5" t="s">
        <v>164</v>
      </c>
      <c r="F3" s="5" t="s">
        <v>164</v>
      </c>
      <c r="G3" s="23">
        <v>1</v>
      </c>
      <c r="H3" s="23">
        <v>1</v>
      </c>
      <c r="I3" s="23">
        <v>1</v>
      </c>
      <c r="X3" s="23">
        <v>1</v>
      </c>
    </row>
    <row r="4" spans="1:32" ht="99.95" hidden="1" customHeight="1" thickBot="1" x14ac:dyDescent="0.3">
      <c r="A4" s="24" t="s">
        <v>32</v>
      </c>
      <c r="B4" s="5" t="s">
        <v>61</v>
      </c>
      <c r="C4" s="6" t="s">
        <v>57</v>
      </c>
      <c r="D4" s="5" t="s">
        <v>62</v>
      </c>
      <c r="E4" s="5" t="s">
        <v>63</v>
      </c>
      <c r="F4" s="5" t="s">
        <v>64</v>
      </c>
      <c r="G4" s="23">
        <v>1</v>
      </c>
      <c r="K4" s="23">
        <v>1</v>
      </c>
      <c r="AE4" s="24">
        <v>1</v>
      </c>
    </row>
    <row r="5" spans="1:32" s="26" customFormat="1" ht="99.95" hidden="1" customHeight="1" thickBot="1" x14ac:dyDescent="0.3">
      <c r="A5" s="25" t="s">
        <v>167</v>
      </c>
      <c r="B5" s="11" t="s">
        <v>175</v>
      </c>
      <c r="C5" s="11" t="s">
        <v>57</v>
      </c>
      <c r="D5" s="11" t="s">
        <v>117</v>
      </c>
      <c r="E5" s="11" t="s">
        <v>59</v>
      </c>
      <c r="F5" s="11" t="s">
        <v>176</v>
      </c>
      <c r="G5" s="26">
        <v>1</v>
      </c>
      <c r="AE5" s="25">
        <v>1</v>
      </c>
      <c r="AF5" s="25"/>
    </row>
    <row r="6" spans="1:32" ht="99.95" hidden="1" customHeight="1" x14ac:dyDescent="0.25">
      <c r="A6" s="24" t="s">
        <v>266</v>
      </c>
      <c r="B6" s="5" t="s">
        <v>269</v>
      </c>
      <c r="C6" s="6" t="s">
        <v>57</v>
      </c>
      <c r="D6" s="5" t="s">
        <v>268</v>
      </c>
      <c r="E6" s="5" t="s">
        <v>59</v>
      </c>
      <c r="F6" s="5" t="s">
        <v>267</v>
      </c>
      <c r="G6" s="23">
        <v>1</v>
      </c>
      <c r="X6" s="23">
        <v>1</v>
      </c>
    </row>
    <row r="7" spans="1:32" s="26" customFormat="1" ht="99.95" hidden="1" customHeight="1" x14ac:dyDescent="0.25">
      <c r="A7" s="25" t="s">
        <v>168</v>
      </c>
      <c r="B7" s="16" t="s">
        <v>56</v>
      </c>
      <c r="C7" s="16" t="s">
        <v>57</v>
      </c>
      <c r="D7" s="16" t="s">
        <v>58</v>
      </c>
      <c r="E7" s="16" t="s">
        <v>59</v>
      </c>
      <c r="F7" s="17" t="s">
        <v>60</v>
      </c>
      <c r="G7" s="26">
        <v>1</v>
      </c>
      <c r="K7" s="26">
        <v>1</v>
      </c>
      <c r="O7" s="26">
        <v>1</v>
      </c>
      <c r="Z7" s="26">
        <v>1</v>
      </c>
      <c r="AE7" s="25"/>
      <c r="AF7" s="25"/>
    </row>
    <row r="8" spans="1:32" ht="99.95" hidden="1" customHeight="1" x14ac:dyDescent="0.25">
      <c r="A8" s="24" t="s">
        <v>169</v>
      </c>
      <c r="B8" s="5" t="s">
        <v>65</v>
      </c>
      <c r="C8" s="5" t="s">
        <v>57</v>
      </c>
      <c r="D8" s="5" t="s">
        <v>58</v>
      </c>
      <c r="E8" s="5" t="s">
        <v>59</v>
      </c>
      <c r="F8" s="5" t="s">
        <v>66</v>
      </c>
      <c r="G8" s="23">
        <v>1</v>
      </c>
      <c r="J8" s="23">
        <v>1</v>
      </c>
      <c r="K8" s="23">
        <v>1</v>
      </c>
      <c r="L8" s="23">
        <v>1</v>
      </c>
      <c r="Y8" s="23">
        <v>1</v>
      </c>
    </row>
    <row r="9" spans="1:32" ht="99.95" hidden="1" customHeight="1" thickBot="1" x14ac:dyDescent="0.3">
      <c r="A9" s="24" t="s">
        <v>33</v>
      </c>
      <c r="B9" s="5" t="s">
        <v>67</v>
      </c>
      <c r="C9" s="5" t="s">
        <v>57</v>
      </c>
      <c r="D9" s="5" t="s">
        <v>68</v>
      </c>
      <c r="E9" s="5" t="s">
        <v>69</v>
      </c>
      <c r="F9" s="5" t="s">
        <v>70</v>
      </c>
      <c r="G9" s="23">
        <v>1</v>
      </c>
      <c r="J9" s="23">
        <v>1</v>
      </c>
      <c r="X9" s="23">
        <v>1</v>
      </c>
    </row>
    <row r="10" spans="1:32" ht="99.95" hidden="1" customHeight="1" thickBot="1" x14ac:dyDescent="0.3">
      <c r="A10" s="24" t="s">
        <v>262</v>
      </c>
      <c r="B10" s="5" t="s">
        <v>263</v>
      </c>
      <c r="C10" s="37" t="s">
        <v>57</v>
      </c>
      <c r="D10" s="36" t="s">
        <v>117</v>
      </c>
      <c r="E10" s="37" t="s">
        <v>59</v>
      </c>
      <c r="F10" s="37" t="s">
        <v>264</v>
      </c>
      <c r="T10" s="23">
        <v>1</v>
      </c>
      <c r="AD10" s="23">
        <v>1</v>
      </c>
    </row>
    <row r="11" spans="1:32" s="26" customFormat="1" ht="99.95" hidden="1" customHeight="1" thickBot="1" x14ac:dyDescent="0.3">
      <c r="A11" s="25" t="s">
        <v>34</v>
      </c>
      <c r="B11" s="36" t="s">
        <v>257</v>
      </c>
      <c r="C11" s="36" t="s">
        <v>57</v>
      </c>
      <c r="D11" s="36" t="s">
        <v>117</v>
      </c>
      <c r="E11" s="36" t="s">
        <v>59</v>
      </c>
      <c r="F11" s="36" t="s">
        <v>258</v>
      </c>
      <c r="J11" s="25">
        <v>1</v>
      </c>
      <c r="L11" s="26">
        <v>1</v>
      </c>
      <c r="U11" s="25" t="s">
        <v>243</v>
      </c>
      <c r="AE11" s="25">
        <v>1</v>
      </c>
      <c r="AF11" s="25"/>
    </row>
    <row r="12" spans="1:32" ht="99.95" hidden="1" customHeight="1" x14ac:dyDescent="0.25">
      <c r="A12" s="24" t="s">
        <v>35</v>
      </c>
      <c r="B12" s="7" t="s">
        <v>72</v>
      </c>
      <c r="C12" s="5" t="s">
        <v>57</v>
      </c>
      <c r="D12" s="5" t="s">
        <v>58</v>
      </c>
      <c r="E12" s="5" t="s">
        <v>59</v>
      </c>
      <c r="F12" s="5" t="s">
        <v>73</v>
      </c>
      <c r="J12" s="23">
        <v>1</v>
      </c>
      <c r="L12" s="23">
        <v>1</v>
      </c>
      <c r="M12" s="23">
        <v>1</v>
      </c>
      <c r="N12" s="23">
        <v>1</v>
      </c>
      <c r="AE12" s="24">
        <v>1</v>
      </c>
    </row>
    <row r="13" spans="1:32" ht="99.95" hidden="1" customHeight="1" x14ac:dyDescent="0.25">
      <c r="A13" s="24" t="s">
        <v>36</v>
      </c>
      <c r="B13" s="4" t="s">
        <v>74</v>
      </c>
      <c r="C13" s="4" t="s">
        <v>57</v>
      </c>
      <c r="D13" s="4" t="s">
        <v>68</v>
      </c>
      <c r="E13" s="4" t="s">
        <v>59</v>
      </c>
      <c r="F13" s="8" t="s">
        <v>166</v>
      </c>
      <c r="G13" s="23">
        <v>1</v>
      </c>
      <c r="AE13" s="24">
        <v>1</v>
      </c>
    </row>
    <row r="14" spans="1:32" ht="99.95" hidden="1" customHeight="1" x14ac:dyDescent="0.25">
      <c r="A14" s="24" t="s">
        <v>208</v>
      </c>
      <c r="B14" s="5" t="s">
        <v>75</v>
      </c>
      <c r="C14" s="5" t="s">
        <v>57</v>
      </c>
      <c r="D14" s="5" t="s">
        <v>76</v>
      </c>
      <c r="E14" s="5" t="s">
        <v>77</v>
      </c>
      <c r="F14" s="5" t="s">
        <v>78</v>
      </c>
      <c r="G14" s="23">
        <v>1</v>
      </c>
      <c r="H14" s="23">
        <v>1</v>
      </c>
      <c r="J14" s="23">
        <v>1</v>
      </c>
      <c r="K14" s="23">
        <v>1</v>
      </c>
      <c r="V14" s="24" t="s">
        <v>238</v>
      </c>
    </row>
    <row r="15" spans="1:32" ht="99.95" hidden="1" customHeight="1" x14ac:dyDescent="0.25">
      <c r="A15" s="27" t="s">
        <v>37</v>
      </c>
      <c r="B15" s="5" t="s">
        <v>79</v>
      </c>
      <c r="C15" s="5" t="s">
        <v>57</v>
      </c>
      <c r="D15" s="5" t="s">
        <v>80</v>
      </c>
      <c r="E15" s="5" t="s">
        <v>81</v>
      </c>
      <c r="F15" s="5" t="s">
        <v>82</v>
      </c>
      <c r="G15" s="23">
        <v>1</v>
      </c>
      <c r="J15" s="23">
        <v>1</v>
      </c>
      <c r="K15" s="23">
        <v>1</v>
      </c>
      <c r="N15" s="23">
        <v>1</v>
      </c>
      <c r="AA15" s="23">
        <v>1</v>
      </c>
    </row>
    <row r="16" spans="1:32" ht="99.95" hidden="1" customHeight="1" x14ac:dyDescent="0.25">
      <c r="A16" s="27" t="s">
        <v>38</v>
      </c>
      <c r="B16" s="4" t="s">
        <v>83</v>
      </c>
      <c r="C16" s="4" t="s">
        <v>84</v>
      </c>
      <c r="D16" s="4" t="s">
        <v>80</v>
      </c>
      <c r="E16" s="4" t="s">
        <v>85</v>
      </c>
      <c r="F16" s="4" t="s">
        <v>86</v>
      </c>
      <c r="G16" s="23">
        <v>1</v>
      </c>
      <c r="J16" s="23">
        <v>1</v>
      </c>
      <c r="K16" s="23">
        <v>1</v>
      </c>
      <c r="M16" s="23">
        <v>1</v>
      </c>
      <c r="N16" s="23">
        <v>1</v>
      </c>
      <c r="U16" s="24" t="s">
        <v>244</v>
      </c>
      <c r="AA16" s="23">
        <v>1</v>
      </c>
    </row>
    <row r="17" spans="1:32" ht="99.95" hidden="1" customHeight="1" x14ac:dyDescent="0.25">
      <c r="A17" s="24" t="s">
        <v>39</v>
      </c>
      <c r="B17" s="5" t="s">
        <v>87</v>
      </c>
      <c r="C17" s="5" t="s">
        <v>57</v>
      </c>
      <c r="D17" s="5" t="s">
        <v>88</v>
      </c>
      <c r="E17" s="5" t="s">
        <v>59</v>
      </c>
      <c r="F17" s="5" t="s">
        <v>89</v>
      </c>
      <c r="G17" s="23">
        <v>1</v>
      </c>
      <c r="AE17" s="24">
        <v>1</v>
      </c>
    </row>
    <row r="18" spans="1:32" ht="99.95" hidden="1" customHeight="1" x14ac:dyDescent="0.25">
      <c r="A18" s="24" t="s">
        <v>40</v>
      </c>
      <c r="B18" s="4" t="s">
        <v>90</v>
      </c>
      <c r="C18" s="4" t="s">
        <v>57</v>
      </c>
      <c r="D18" s="4" t="s">
        <v>58</v>
      </c>
      <c r="E18" s="4" t="s">
        <v>77</v>
      </c>
      <c r="F18" s="4" t="s">
        <v>91</v>
      </c>
      <c r="O18" s="23">
        <v>1</v>
      </c>
      <c r="U18" s="24" t="s">
        <v>92</v>
      </c>
      <c r="X18" s="23">
        <v>1</v>
      </c>
      <c r="AD18" s="23">
        <v>1</v>
      </c>
      <c r="AF18" s="24" t="s">
        <v>93</v>
      </c>
    </row>
    <row r="19" spans="1:32" ht="99.95" hidden="1" customHeight="1" x14ac:dyDescent="0.25">
      <c r="A19" s="24" t="s">
        <v>209</v>
      </c>
      <c r="B19" s="5" t="s">
        <v>94</v>
      </c>
      <c r="C19" s="5" t="s">
        <v>57</v>
      </c>
      <c r="D19" s="5" t="s">
        <v>71</v>
      </c>
      <c r="E19" s="5" t="s">
        <v>95</v>
      </c>
      <c r="F19" s="5" t="s">
        <v>96</v>
      </c>
      <c r="K19" s="23">
        <v>1</v>
      </c>
      <c r="AE19" s="24">
        <v>1</v>
      </c>
    </row>
    <row r="20" spans="1:32" ht="99.95" hidden="1" customHeight="1" x14ac:dyDescent="0.25">
      <c r="A20" s="24" t="s">
        <v>41</v>
      </c>
      <c r="B20" s="4" t="s">
        <v>97</v>
      </c>
      <c r="C20" s="4" t="s">
        <v>57</v>
      </c>
      <c r="D20" s="4" t="s">
        <v>58</v>
      </c>
      <c r="E20" s="4" t="s">
        <v>59</v>
      </c>
      <c r="F20" s="4" t="s">
        <v>98</v>
      </c>
      <c r="G20" s="23">
        <v>1</v>
      </c>
      <c r="AE20" s="24">
        <v>1</v>
      </c>
    </row>
    <row r="21" spans="1:32" s="30" customFormat="1" ht="99.95" hidden="1" customHeight="1" x14ac:dyDescent="0.25">
      <c r="A21" s="28" t="s">
        <v>210</v>
      </c>
      <c r="B21" s="10" t="s">
        <v>99</v>
      </c>
      <c r="C21" s="10" t="s">
        <v>57</v>
      </c>
      <c r="D21" s="10" t="s">
        <v>68</v>
      </c>
      <c r="E21" s="10" t="s">
        <v>77</v>
      </c>
      <c r="F21" s="10" t="s">
        <v>100</v>
      </c>
      <c r="G21" s="30">
        <v>1</v>
      </c>
      <c r="J21" s="30">
        <v>1</v>
      </c>
      <c r="K21" s="30">
        <v>1</v>
      </c>
      <c r="W21" s="30">
        <v>1</v>
      </c>
      <c r="AE21" s="29"/>
      <c r="AF21" s="29"/>
    </row>
    <row r="22" spans="1:32" s="30" customFormat="1" ht="99.95" hidden="1" customHeight="1" x14ac:dyDescent="0.25">
      <c r="A22" s="29" t="s">
        <v>211</v>
      </c>
      <c r="B22" s="10" t="s">
        <v>101</v>
      </c>
      <c r="C22" s="10" t="s">
        <v>57</v>
      </c>
      <c r="D22" s="10" t="s">
        <v>80</v>
      </c>
      <c r="E22" s="10" t="s">
        <v>102</v>
      </c>
      <c r="F22" s="10" t="s">
        <v>103</v>
      </c>
      <c r="I22" s="29">
        <v>1</v>
      </c>
      <c r="J22" s="30">
        <v>1</v>
      </c>
      <c r="L22" s="30">
        <v>1</v>
      </c>
      <c r="P22" s="29"/>
      <c r="Q22" s="29">
        <v>1</v>
      </c>
      <c r="U22" s="29" t="s">
        <v>246</v>
      </c>
      <c r="AB22" s="30">
        <v>1</v>
      </c>
      <c r="AE22" s="29"/>
      <c r="AF22" s="29"/>
    </row>
    <row r="23" spans="1:32" s="30" customFormat="1" ht="99.95" hidden="1" customHeight="1" thickBot="1" x14ac:dyDescent="0.3">
      <c r="A23" s="28" t="s">
        <v>42</v>
      </c>
      <c r="B23" s="13" t="s">
        <v>104</v>
      </c>
      <c r="C23" s="13" t="s">
        <v>57</v>
      </c>
      <c r="D23" s="13" t="s">
        <v>71</v>
      </c>
      <c r="E23" s="12" t="s">
        <v>105</v>
      </c>
      <c r="F23" s="12" t="s">
        <v>106</v>
      </c>
      <c r="G23" s="30">
        <v>1</v>
      </c>
      <c r="L23" s="29">
        <v>1</v>
      </c>
      <c r="U23" s="29" t="s">
        <v>247</v>
      </c>
      <c r="AA23" s="30">
        <v>1</v>
      </c>
      <c r="AE23" s="29"/>
      <c r="AF23" s="29"/>
    </row>
    <row r="24" spans="1:32" s="26" customFormat="1" ht="99.95" hidden="1" customHeight="1" thickBot="1" x14ac:dyDescent="0.3">
      <c r="A24" s="25" t="s">
        <v>43</v>
      </c>
      <c r="B24" s="11" t="s">
        <v>179</v>
      </c>
      <c r="C24" s="11" t="s">
        <v>57</v>
      </c>
      <c r="D24" s="11" t="s">
        <v>117</v>
      </c>
      <c r="E24" s="11" t="s">
        <v>59</v>
      </c>
      <c r="F24" s="11" t="s">
        <v>181</v>
      </c>
      <c r="J24" s="26">
        <v>1</v>
      </c>
      <c r="L24" s="26">
        <v>1</v>
      </c>
      <c r="N24" s="26">
        <v>1</v>
      </c>
      <c r="O24" s="26">
        <v>1</v>
      </c>
      <c r="AC24" s="26">
        <v>1</v>
      </c>
      <c r="AE24" s="25"/>
      <c r="AF24" s="25"/>
    </row>
    <row r="25" spans="1:32" s="30" customFormat="1" ht="99.95" hidden="1" customHeight="1" x14ac:dyDescent="0.25">
      <c r="A25" s="28" t="s">
        <v>178</v>
      </c>
      <c r="B25" s="13" t="s">
        <v>1</v>
      </c>
      <c r="C25" s="13" t="s">
        <v>57</v>
      </c>
      <c r="D25" s="13" t="s">
        <v>80</v>
      </c>
      <c r="E25" s="13" t="s">
        <v>59</v>
      </c>
      <c r="F25" s="12" t="s">
        <v>107</v>
      </c>
      <c r="H25" s="30">
        <v>1</v>
      </c>
      <c r="AE25" s="29">
        <v>1</v>
      </c>
      <c r="AF25" s="29"/>
    </row>
    <row r="26" spans="1:32" s="30" customFormat="1" ht="99.95" hidden="1" customHeight="1" thickBot="1" x14ac:dyDescent="0.3">
      <c r="A26" s="28" t="s">
        <v>177</v>
      </c>
      <c r="B26" s="13" t="s">
        <v>108</v>
      </c>
      <c r="C26" s="13" t="s">
        <v>57</v>
      </c>
      <c r="D26" s="13" t="s">
        <v>58</v>
      </c>
      <c r="E26" s="13" t="s">
        <v>109</v>
      </c>
      <c r="F26" s="12" t="s">
        <v>110</v>
      </c>
      <c r="L26" s="29">
        <v>1</v>
      </c>
      <c r="U26" s="29" t="s">
        <v>259</v>
      </c>
      <c r="X26" s="30">
        <v>1</v>
      </c>
      <c r="Y26" s="30">
        <v>1</v>
      </c>
      <c r="AE26" s="29"/>
      <c r="AF26" s="29"/>
    </row>
    <row r="27" spans="1:32" s="26" customFormat="1" ht="99.95" hidden="1" customHeight="1" thickBot="1" x14ac:dyDescent="0.3">
      <c r="A27" s="31" t="s">
        <v>44</v>
      </c>
      <c r="B27" s="11" t="s">
        <v>111</v>
      </c>
      <c r="C27" s="11" t="s">
        <v>57</v>
      </c>
      <c r="D27" s="11" t="s">
        <v>88</v>
      </c>
      <c r="E27" s="11" t="s">
        <v>59</v>
      </c>
      <c r="F27" s="11" t="s">
        <v>112</v>
      </c>
      <c r="G27" s="26">
        <v>1</v>
      </c>
      <c r="Y27" s="26">
        <v>1</v>
      </c>
      <c r="AE27" s="25"/>
      <c r="AF27" s="25" t="s">
        <v>182</v>
      </c>
    </row>
    <row r="28" spans="1:32" s="30" customFormat="1" ht="99.95" hidden="1" customHeight="1" x14ac:dyDescent="0.25">
      <c r="A28" s="28" t="s">
        <v>212</v>
      </c>
      <c r="B28" s="12" t="s">
        <v>113</v>
      </c>
      <c r="C28" s="12" t="s">
        <v>57</v>
      </c>
      <c r="D28" s="12" t="s">
        <v>88</v>
      </c>
      <c r="E28" s="12" t="s">
        <v>59</v>
      </c>
      <c r="F28" s="12" t="s">
        <v>114</v>
      </c>
      <c r="H28" s="30">
        <v>1</v>
      </c>
      <c r="AE28" s="29">
        <v>1</v>
      </c>
      <c r="AF28" s="29"/>
    </row>
    <row r="29" spans="1:32" s="30" customFormat="1" ht="99.95" hidden="1" customHeight="1" x14ac:dyDescent="0.25">
      <c r="A29" s="28" t="s">
        <v>213</v>
      </c>
      <c r="B29" s="12" t="s">
        <v>115</v>
      </c>
      <c r="C29" s="5" t="s">
        <v>57</v>
      </c>
      <c r="D29" s="5" t="s">
        <v>71</v>
      </c>
      <c r="E29" s="5" t="s">
        <v>59</v>
      </c>
      <c r="F29" s="12" t="s">
        <v>116</v>
      </c>
      <c r="G29" s="30">
        <v>1</v>
      </c>
      <c r="J29" s="30">
        <v>1</v>
      </c>
      <c r="K29" s="30">
        <v>1</v>
      </c>
      <c r="U29" s="29" t="s">
        <v>260</v>
      </c>
      <c r="X29" s="30">
        <v>1</v>
      </c>
      <c r="AE29" s="29"/>
      <c r="AF29" s="29"/>
    </row>
    <row r="30" spans="1:32" s="30" customFormat="1" ht="99.95" hidden="1" customHeight="1" x14ac:dyDescent="0.25">
      <c r="A30" s="28" t="s">
        <v>214</v>
      </c>
      <c r="B30" s="12" t="s">
        <v>94</v>
      </c>
      <c r="C30" s="5" t="s">
        <v>57</v>
      </c>
      <c r="D30" s="5" t="s">
        <v>117</v>
      </c>
      <c r="E30" s="5" t="s">
        <v>59</v>
      </c>
      <c r="F30" s="12" t="s">
        <v>118</v>
      </c>
      <c r="K30" s="30">
        <v>1</v>
      </c>
      <c r="V30" s="29"/>
      <c r="AE30" s="29">
        <v>1</v>
      </c>
      <c r="AF30" s="29" t="s">
        <v>239</v>
      </c>
    </row>
    <row r="31" spans="1:32" s="30" customFormat="1" ht="99.95" hidden="1" customHeight="1" x14ac:dyDescent="0.25">
      <c r="A31" s="29" t="s">
        <v>215</v>
      </c>
      <c r="B31" s="10" t="s">
        <v>87</v>
      </c>
      <c r="C31" s="10" t="s">
        <v>57</v>
      </c>
      <c r="D31" s="10" t="s">
        <v>88</v>
      </c>
      <c r="E31" s="10" t="s">
        <v>59</v>
      </c>
      <c r="F31" s="10" t="s">
        <v>119</v>
      </c>
      <c r="G31" s="30">
        <v>1</v>
      </c>
      <c r="AE31" s="29">
        <v>1</v>
      </c>
      <c r="AF31" s="29"/>
    </row>
    <row r="32" spans="1:32" s="30" customFormat="1" ht="99.95" hidden="1" customHeight="1" x14ac:dyDescent="0.25">
      <c r="A32" s="29" t="s">
        <v>216</v>
      </c>
      <c r="B32" s="10" t="s">
        <v>120</v>
      </c>
      <c r="C32" s="10" t="s">
        <v>57</v>
      </c>
      <c r="D32" s="10" t="s">
        <v>117</v>
      </c>
      <c r="E32" s="10" t="s">
        <v>59</v>
      </c>
      <c r="F32" s="10" t="s">
        <v>119</v>
      </c>
      <c r="H32" s="30">
        <v>1</v>
      </c>
      <c r="I32" s="29">
        <v>1</v>
      </c>
      <c r="U32" s="29" t="s">
        <v>248</v>
      </c>
      <c r="AE32" s="29">
        <v>1</v>
      </c>
      <c r="AF32" s="29"/>
    </row>
    <row r="33" spans="1:32" s="30" customFormat="1" ht="99.95" hidden="1" customHeight="1" thickBot="1" x14ac:dyDescent="0.3">
      <c r="A33" s="28" t="s">
        <v>217</v>
      </c>
      <c r="B33" s="10" t="s">
        <v>121</v>
      </c>
      <c r="C33" s="9" t="s">
        <v>57</v>
      </c>
      <c r="D33" s="9" t="s">
        <v>71</v>
      </c>
      <c r="E33" s="9" t="s">
        <v>59</v>
      </c>
      <c r="F33" s="9" t="s">
        <v>122</v>
      </c>
      <c r="G33" s="30">
        <v>1</v>
      </c>
      <c r="AE33" s="29">
        <v>1</v>
      </c>
      <c r="AF33" s="29"/>
    </row>
    <row r="34" spans="1:32" ht="99.95" hidden="1" customHeight="1" thickBot="1" x14ac:dyDescent="0.3">
      <c r="A34" s="24" t="s">
        <v>45</v>
      </c>
      <c r="B34" s="35" t="s">
        <v>249</v>
      </c>
      <c r="C34" s="35" t="s">
        <v>57</v>
      </c>
      <c r="D34" s="35" t="s">
        <v>123</v>
      </c>
      <c r="E34" s="35" t="s">
        <v>250</v>
      </c>
      <c r="F34" s="35" t="s">
        <v>251</v>
      </c>
      <c r="J34" s="23">
        <v>1</v>
      </c>
      <c r="L34" s="23">
        <v>1</v>
      </c>
      <c r="R34" s="24"/>
      <c r="S34" s="24"/>
      <c r="T34" s="24"/>
      <c r="AC34" s="23">
        <v>1</v>
      </c>
    </row>
    <row r="35" spans="1:32" s="30" customFormat="1" ht="99.95" hidden="1" customHeight="1" x14ac:dyDescent="0.25">
      <c r="A35" s="29" t="s">
        <v>218</v>
      </c>
      <c r="B35" s="10" t="s">
        <v>124</v>
      </c>
      <c r="C35" s="10" t="s">
        <v>57</v>
      </c>
      <c r="D35" s="10" t="s">
        <v>123</v>
      </c>
      <c r="E35" s="10" t="s">
        <v>77</v>
      </c>
      <c r="F35" s="10" t="s">
        <v>125</v>
      </c>
      <c r="R35" s="29">
        <v>1</v>
      </c>
      <c r="S35" s="29"/>
      <c r="T35" s="29"/>
      <c r="U35" s="29" t="s">
        <v>253</v>
      </c>
      <c r="X35" s="30">
        <v>1</v>
      </c>
      <c r="AE35" s="29"/>
      <c r="AF35" s="29"/>
    </row>
    <row r="36" spans="1:32" s="30" customFormat="1" ht="99.95" hidden="1" customHeight="1" x14ac:dyDescent="0.25">
      <c r="A36" s="29" t="s">
        <v>219</v>
      </c>
      <c r="B36" s="10" t="s">
        <v>104</v>
      </c>
      <c r="C36" s="10" t="s">
        <v>57</v>
      </c>
      <c r="D36" s="10" t="s">
        <v>88</v>
      </c>
      <c r="E36" s="10" t="s">
        <v>59</v>
      </c>
      <c r="F36" s="10" t="s">
        <v>125</v>
      </c>
      <c r="G36" s="30">
        <v>1</v>
      </c>
      <c r="AE36" s="29">
        <v>1</v>
      </c>
      <c r="AF36" s="29"/>
    </row>
    <row r="37" spans="1:32" s="30" customFormat="1" ht="99.95" hidden="1" customHeight="1" x14ac:dyDescent="0.25">
      <c r="A37" s="28" t="s">
        <v>225</v>
      </c>
      <c r="B37" s="12" t="s">
        <v>126</v>
      </c>
      <c r="C37" s="12" t="s">
        <v>57</v>
      </c>
      <c r="D37" s="12" t="s">
        <v>88</v>
      </c>
      <c r="E37" s="12" t="s">
        <v>59</v>
      </c>
      <c r="F37" s="12" t="s">
        <v>127</v>
      </c>
      <c r="J37" s="30">
        <v>1</v>
      </c>
      <c r="U37" s="29" t="s">
        <v>254</v>
      </c>
      <c r="AE37" s="29">
        <v>1</v>
      </c>
      <c r="AF37" s="29"/>
    </row>
    <row r="38" spans="1:32" s="30" customFormat="1" ht="99.95" hidden="1" customHeight="1" x14ac:dyDescent="0.25">
      <c r="A38" s="28" t="s">
        <v>226</v>
      </c>
      <c r="B38" s="12" t="s">
        <v>128</v>
      </c>
      <c r="C38" s="12" t="s">
        <v>129</v>
      </c>
      <c r="D38" s="12" t="s">
        <v>123</v>
      </c>
      <c r="E38" s="12" t="s">
        <v>77</v>
      </c>
      <c r="F38" s="12" t="s">
        <v>130</v>
      </c>
      <c r="P38" s="30">
        <v>1</v>
      </c>
      <c r="X38" s="30">
        <v>1</v>
      </c>
      <c r="AE38" s="29"/>
      <c r="AF38" s="29"/>
    </row>
    <row r="39" spans="1:32" s="30" customFormat="1" ht="99.95" hidden="1" customHeight="1" x14ac:dyDescent="0.25">
      <c r="A39" s="29" t="s">
        <v>220</v>
      </c>
      <c r="B39" s="10" t="s">
        <v>131</v>
      </c>
      <c r="C39" s="10" t="s">
        <v>57</v>
      </c>
      <c r="D39" s="10" t="s">
        <v>58</v>
      </c>
      <c r="E39" s="10" t="s">
        <v>59</v>
      </c>
      <c r="F39" s="10" t="s">
        <v>132</v>
      </c>
      <c r="H39" s="30">
        <v>1</v>
      </c>
      <c r="U39" s="29" t="s">
        <v>261</v>
      </c>
      <c r="AE39" s="29">
        <v>1</v>
      </c>
      <c r="AF39" s="29"/>
    </row>
    <row r="40" spans="1:32" s="30" customFormat="1" ht="99.95" hidden="1" customHeight="1" thickBot="1" x14ac:dyDescent="0.3">
      <c r="A40" s="28" t="s">
        <v>227</v>
      </c>
      <c r="B40" s="12" t="s">
        <v>1</v>
      </c>
      <c r="C40" s="12" t="s">
        <v>57</v>
      </c>
      <c r="D40" s="12" t="s">
        <v>58</v>
      </c>
      <c r="E40" s="12" t="s">
        <v>59</v>
      </c>
      <c r="F40" s="12" t="s">
        <v>133</v>
      </c>
      <c r="H40" s="30">
        <v>1</v>
      </c>
      <c r="AE40" s="29">
        <v>1</v>
      </c>
      <c r="AF40" s="29"/>
    </row>
    <row r="41" spans="1:32" ht="99.95" hidden="1" customHeight="1" thickBot="1" x14ac:dyDescent="0.3">
      <c r="A41" s="25" t="s">
        <v>46</v>
      </c>
      <c r="B41" s="18" t="s">
        <v>183</v>
      </c>
      <c r="C41" s="18" t="s">
        <v>57</v>
      </c>
      <c r="D41" s="18" t="s">
        <v>117</v>
      </c>
      <c r="E41" s="18" t="s">
        <v>109</v>
      </c>
      <c r="F41" s="18" t="s">
        <v>184</v>
      </c>
      <c r="G41" s="23">
        <v>1</v>
      </c>
      <c r="R41" s="23">
        <v>1</v>
      </c>
      <c r="AA41" s="24">
        <v>1</v>
      </c>
      <c r="AF41" s="24" t="s">
        <v>185</v>
      </c>
    </row>
    <row r="42" spans="1:32" s="26" customFormat="1" ht="99.95" hidden="1" customHeight="1" thickBot="1" x14ac:dyDescent="0.3">
      <c r="A42" s="25" t="s">
        <v>47</v>
      </c>
      <c r="B42" s="11" t="s">
        <v>186</v>
      </c>
      <c r="C42" s="11" t="s">
        <v>57</v>
      </c>
      <c r="D42" s="11" t="s">
        <v>123</v>
      </c>
      <c r="E42" s="11" t="s">
        <v>59</v>
      </c>
      <c r="F42" s="11" t="s">
        <v>187</v>
      </c>
      <c r="I42" s="26">
        <v>1</v>
      </c>
      <c r="U42" s="25"/>
      <c r="AE42" s="25">
        <v>1</v>
      </c>
      <c r="AF42" s="25"/>
    </row>
    <row r="43" spans="1:32" s="33" customFormat="1" ht="99.95" hidden="1" customHeight="1" x14ac:dyDescent="0.25">
      <c r="A43" s="32" t="s">
        <v>221</v>
      </c>
      <c r="B43" s="14" t="s">
        <v>137</v>
      </c>
      <c r="C43" s="14" t="s">
        <v>57</v>
      </c>
      <c r="D43" s="14" t="s">
        <v>123</v>
      </c>
      <c r="E43" s="14" t="s">
        <v>109</v>
      </c>
      <c r="F43" s="14"/>
      <c r="G43" s="33">
        <v>1</v>
      </c>
      <c r="I43" s="33">
        <v>1</v>
      </c>
      <c r="J43" s="33">
        <v>1</v>
      </c>
      <c r="L43" s="33">
        <v>1</v>
      </c>
      <c r="U43" s="32" t="s">
        <v>138</v>
      </c>
      <c r="AE43" s="32">
        <v>1</v>
      </c>
      <c r="AF43" s="32"/>
    </row>
    <row r="44" spans="1:32" s="30" customFormat="1" ht="99.95" hidden="1" customHeight="1" x14ac:dyDescent="0.25">
      <c r="A44" s="28" t="s">
        <v>222</v>
      </c>
      <c r="B44" s="10" t="s">
        <v>87</v>
      </c>
      <c r="C44" s="10" t="s">
        <v>57</v>
      </c>
      <c r="D44" s="10" t="s">
        <v>58</v>
      </c>
      <c r="E44" s="10" t="s">
        <v>59</v>
      </c>
      <c r="F44" s="15" t="s">
        <v>139</v>
      </c>
      <c r="G44" s="29">
        <v>1</v>
      </c>
      <c r="H44" s="29"/>
      <c r="I44" s="29"/>
      <c r="AE44" s="29">
        <v>1</v>
      </c>
      <c r="AF44" s="29"/>
    </row>
    <row r="45" spans="1:32" s="30" customFormat="1" ht="99.95" customHeight="1" x14ac:dyDescent="0.25">
      <c r="A45" s="28" t="s">
        <v>228</v>
      </c>
      <c r="B45" s="12" t="s">
        <v>134</v>
      </c>
      <c r="C45" s="12" t="s">
        <v>57</v>
      </c>
      <c r="D45" s="12" t="s">
        <v>123</v>
      </c>
      <c r="E45" s="12" t="s">
        <v>109</v>
      </c>
      <c r="F45" s="12" t="s">
        <v>135</v>
      </c>
      <c r="G45" s="30">
        <v>1</v>
      </c>
      <c r="H45" s="30">
        <v>1</v>
      </c>
      <c r="I45" s="30">
        <v>1</v>
      </c>
      <c r="J45" s="30">
        <v>1</v>
      </c>
      <c r="K45" s="30">
        <v>1</v>
      </c>
      <c r="L45" s="30">
        <v>1</v>
      </c>
      <c r="M45" s="30">
        <v>1</v>
      </c>
      <c r="N45" s="30">
        <v>1</v>
      </c>
      <c r="U45" s="29" t="s">
        <v>136</v>
      </c>
      <c r="X45" s="30">
        <v>1</v>
      </c>
      <c r="AE45" s="29"/>
      <c r="AF45" s="29"/>
    </row>
    <row r="46" spans="1:32" s="30" customFormat="1" ht="99.95" customHeight="1" thickBot="1" x14ac:dyDescent="0.3">
      <c r="A46" s="28" t="s">
        <v>229</v>
      </c>
      <c r="B46" s="12" t="s">
        <v>140</v>
      </c>
      <c r="C46" s="12" t="s">
        <v>57</v>
      </c>
      <c r="D46" s="12" t="s">
        <v>123</v>
      </c>
      <c r="E46" s="12" t="s">
        <v>109</v>
      </c>
      <c r="F46" s="12" t="s">
        <v>141</v>
      </c>
      <c r="G46" s="30">
        <v>1</v>
      </c>
      <c r="J46" s="30">
        <v>1</v>
      </c>
      <c r="K46" s="30">
        <v>1</v>
      </c>
      <c r="U46" s="29" t="s">
        <v>142</v>
      </c>
      <c r="Y46" s="30">
        <v>1</v>
      </c>
      <c r="AE46" s="29"/>
      <c r="AF46" s="29"/>
    </row>
    <row r="47" spans="1:32" s="26" customFormat="1" ht="99.95" customHeight="1" thickBot="1" x14ac:dyDescent="0.3">
      <c r="A47" s="25" t="s">
        <v>231</v>
      </c>
      <c r="B47" s="11" t="s">
        <v>137</v>
      </c>
      <c r="C47" s="11" t="s">
        <v>57</v>
      </c>
      <c r="D47" s="11" t="s">
        <v>123</v>
      </c>
      <c r="E47" s="11" t="s">
        <v>77</v>
      </c>
      <c r="F47" s="11" t="s">
        <v>188</v>
      </c>
      <c r="G47" s="26">
        <v>1</v>
      </c>
      <c r="J47" s="26">
        <v>1</v>
      </c>
      <c r="K47" s="26">
        <v>1</v>
      </c>
      <c r="L47" s="26">
        <v>1</v>
      </c>
      <c r="N47" s="26">
        <v>1</v>
      </c>
      <c r="P47" s="26">
        <v>1</v>
      </c>
      <c r="R47" s="26">
        <v>1</v>
      </c>
      <c r="U47" s="25" t="s">
        <v>189</v>
      </c>
      <c r="W47" s="26">
        <v>1</v>
      </c>
      <c r="X47" s="25">
        <v>1</v>
      </c>
      <c r="AE47" s="25"/>
      <c r="AF47" s="25" t="s">
        <v>240</v>
      </c>
    </row>
    <row r="48" spans="1:32" s="30" customFormat="1" ht="99.95" customHeight="1" thickBot="1" x14ac:dyDescent="0.3">
      <c r="A48" s="28" t="s">
        <v>230</v>
      </c>
      <c r="B48" s="12" t="s">
        <v>143</v>
      </c>
      <c r="C48" s="12" t="s">
        <v>129</v>
      </c>
      <c r="D48" s="12" t="s">
        <v>123</v>
      </c>
      <c r="E48" s="12" t="s">
        <v>77</v>
      </c>
      <c r="F48" s="12" t="s">
        <v>144</v>
      </c>
      <c r="J48" s="30">
        <v>1</v>
      </c>
      <c r="U48" s="29" t="s">
        <v>145</v>
      </c>
      <c r="Y48" s="30">
        <v>1</v>
      </c>
      <c r="AE48" s="29"/>
      <c r="AF48" s="29"/>
    </row>
    <row r="49" spans="1:35" ht="99.95" customHeight="1" thickBot="1" x14ac:dyDescent="0.3">
      <c r="A49" s="25" t="s">
        <v>48</v>
      </c>
      <c r="B49" s="18" t="s">
        <v>235</v>
      </c>
      <c r="C49" s="18" t="s">
        <v>57</v>
      </c>
      <c r="D49" s="12" t="s">
        <v>123</v>
      </c>
      <c r="E49" s="12" t="s">
        <v>77</v>
      </c>
      <c r="F49" s="18" t="s">
        <v>236</v>
      </c>
      <c r="G49" s="23">
        <v>1</v>
      </c>
      <c r="I49" s="23">
        <v>1</v>
      </c>
      <c r="J49" s="23">
        <v>1</v>
      </c>
      <c r="K49" s="23">
        <v>1</v>
      </c>
      <c r="U49" s="24" t="s">
        <v>234</v>
      </c>
      <c r="X49" s="23">
        <v>1</v>
      </c>
      <c r="AA49" s="24">
        <v>1</v>
      </c>
      <c r="AF49" s="24" t="s">
        <v>241</v>
      </c>
    </row>
    <row r="50" spans="1:35" s="26" customFormat="1" ht="99.95" customHeight="1" thickBot="1" x14ac:dyDescent="0.3">
      <c r="A50" s="25" t="s">
        <v>49</v>
      </c>
      <c r="B50" s="11" t="s">
        <v>94</v>
      </c>
      <c r="C50" s="11" t="s">
        <v>57</v>
      </c>
      <c r="D50" s="11" t="s">
        <v>117</v>
      </c>
      <c r="E50" s="11" t="s">
        <v>59</v>
      </c>
      <c r="F50" s="11" t="s">
        <v>190</v>
      </c>
      <c r="K50" s="26">
        <v>1</v>
      </c>
      <c r="AE50" s="25">
        <v>1</v>
      </c>
      <c r="AF50" s="25"/>
    </row>
    <row r="51" spans="1:35" ht="99.95" customHeight="1" thickBot="1" x14ac:dyDescent="0.3">
      <c r="A51" s="25" t="s">
        <v>223</v>
      </c>
      <c r="B51" s="18" t="s">
        <v>191</v>
      </c>
      <c r="C51" s="18" t="s">
        <v>57</v>
      </c>
      <c r="D51" s="18" t="s">
        <v>88</v>
      </c>
      <c r="E51" s="18" t="s">
        <v>59</v>
      </c>
      <c r="F51" s="18" t="s">
        <v>125</v>
      </c>
      <c r="J51" s="23">
        <v>1</v>
      </c>
      <c r="AE51" s="24">
        <v>1</v>
      </c>
    </row>
    <row r="52" spans="1:35" ht="99.95" customHeight="1" thickBot="1" x14ac:dyDescent="0.3">
      <c r="A52" s="25" t="s">
        <v>170</v>
      </c>
      <c r="B52" s="18" t="s">
        <v>194</v>
      </c>
      <c r="C52" s="18" t="s">
        <v>57</v>
      </c>
      <c r="D52" s="34" t="s">
        <v>88</v>
      </c>
      <c r="E52" s="18" t="s">
        <v>59</v>
      </c>
      <c r="F52" s="18" t="s">
        <v>193</v>
      </c>
      <c r="G52" s="24">
        <v>1</v>
      </c>
      <c r="AE52" s="24">
        <v>1</v>
      </c>
    </row>
    <row r="53" spans="1:35" s="30" customFormat="1" ht="99.95" customHeight="1" x14ac:dyDescent="0.25">
      <c r="A53" s="28" t="s">
        <v>224</v>
      </c>
      <c r="B53" s="12" t="s">
        <v>146</v>
      </c>
      <c r="C53" s="12" t="s">
        <v>57</v>
      </c>
      <c r="D53" s="5" t="s">
        <v>58</v>
      </c>
      <c r="E53" s="12" t="s">
        <v>59</v>
      </c>
      <c r="F53" s="12" t="s">
        <v>147</v>
      </c>
      <c r="N53" s="30">
        <v>1</v>
      </c>
      <c r="X53" s="30">
        <v>1</v>
      </c>
      <c r="AE53" s="29"/>
      <c r="AF53" s="29"/>
    </row>
    <row r="54" spans="1:35" ht="99.95" customHeight="1" x14ac:dyDescent="0.25">
      <c r="A54" s="24" t="s">
        <v>50</v>
      </c>
      <c r="B54" s="5" t="s">
        <v>156</v>
      </c>
      <c r="C54" s="5" t="s">
        <v>157</v>
      </c>
      <c r="D54" s="5" t="s">
        <v>158</v>
      </c>
      <c r="E54" s="5" t="s">
        <v>159</v>
      </c>
      <c r="F54" s="5" t="s">
        <v>160</v>
      </c>
      <c r="J54" s="23">
        <v>1</v>
      </c>
      <c r="L54" s="23">
        <v>1</v>
      </c>
      <c r="V54" s="24" t="s">
        <v>161</v>
      </c>
    </row>
    <row r="55" spans="1:35" ht="99.95" customHeight="1" thickBot="1" x14ac:dyDescent="0.3">
      <c r="A55" s="24" t="s">
        <v>174</v>
      </c>
      <c r="B55" s="4" t="s">
        <v>148</v>
      </c>
      <c r="C55" s="4" t="s">
        <v>57</v>
      </c>
      <c r="D55" s="4" t="s">
        <v>80</v>
      </c>
      <c r="E55" s="4" t="s">
        <v>149</v>
      </c>
      <c r="F55" s="4" t="s">
        <v>150</v>
      </c>
      <c r="G55" s="23">
        <v>1</v>
      </c>
      <c r="I55" s="23">
        <v>1</v>
      </c>
      <c r="J55" s="23">
        <v>1</v>
      </c>
      <c r="K55" s="23">
        <v>1</v>
      </c>
      <c r="L55" s="23">
        <v>1</v>
      </c>
      <c r="N55" s="23">
        <v>1</v>
      </c>
      <c r="O55" s="23">
        <v>1</v>
      </c>
      <c r="S55" s="24">
        <v>1</v>
      </c>
      <c r="T55" s="24"/>
      <c r="U55" s="24" t="s">
        <v>256</v>
      </c>
      <c r="AE55" s="24">
        <v>1</v>
      </c>
    </row>
    <row r="56" spans="1:35" s="26" customFormat="1" ht="99.95" customHeight="1" thickBot="1" x14ac:dyDescent="0.3">
      <c r="A56" s="25" t="s">
        <v>51</v>
      </c>
      <c r="B56" s="11" t="s">
        <v>195</v>
      </c>
      <c r="C56" s="11" t="s">
        <v>57</v>
      </c>
      <c r="D56" s="11" t="s">
        <v>196</v>
      </c>
      <c r="E56" s="11" t="s">
        <v>197</v>
      </c>
      <c r="F56" s="11" t="s">
        <v>198</v>
      </c>
      <c r="G56" s="26">
        <v>1</v>
      </c>
      <c r="I56" s="26">
        <v>1</v>
      </c>
      <c r="J56" s="26">
        <v>1</v>
      </c>
      <c r="K56" s="26">
        <v>1</v>
      </c>
      <c r="L56" s="26">
        <v>1</v>
      </c>
      <c r="P56" s="26">
        <v>1</v>
      </c>
      <c r="AE56" s="25">
        <v>1</v>
      </c>
      <c r="AF56" s="25"/>
    </row>
    <row r="57" spans="1:35" ht="99.95" customHeight="1" thickBot="1" x14ac:dyDescent="0.3">
      <c r="A57" s="25" t="s">
        <v>52</v>
      </c>
      <c r="B57" s="18" t="s">
        <v>87</v>
      </c>
      <c r="C57" s="18" t="s">
        <v>192</v>
      </c>
      <c r="D57" s="18" t="s">
        <v>88</v>
      </c>
      <c r="E57" s="18" t="s">
        <v>59</v>
      </c>
      <c r="F57" s="18" t="s">
        <v>199</v>
      </c>
      <c r="G57" s="23">
        <v>1</v>
      </c>
      <c r="AE57" s="24">
        <v>1</v>
      </c>
    </row>
    <row r="58" spans="1:35" ht="99.95" customHeight="1" thickBot="1" x14ac:dyDescent="0.3">
      <c r="A58" s="24" t="s">
        <v>53</v>
      </c>
      <c r="B58" s="5" t="s">
        <v>151</v>
      </c>
      <c r="C58" s="5" t="s">
        <v>152</v>
      </c>
      <c r="D58" s="5" t="s">
        <v>153</v>
      </c>
      <c r="E58" s="5" t="s">
        <v>154</v>
      </c>
      <c r="F58" s="5" t="s">
        <v>155</v>
      </c>
      <c r="G58" s="23">
        <v>1</v>
      </c>
      <c r="I58" s="23">
        <v>1</v>
      </c>
      <c r="J58" s="23">
        <v>1</v>
      </c>
      <c r="L58" s="23">
        <v>1</v>
      </c>
      <c r="V58" s="24" t="s">
        <v>237</v>
      </c>
    </row>
    <row r="59" spans="1:35" ht="99.95" customHeight="1" thickBot="1" x14ac:dyDescent="0.3">
      <c r="A59" s="7" t="s">
        <v>171</v>
      </c>
      <c r="B59" s="18" t="s">
        <v>232</v>
      </c>
      <c r="C59" s="18" t="s">
        <v>57</v>
      </c>
      <c r="D59" s="18" t="s">
        <v>117</v>
      </c>
      <c r="E59" s="18" t="s">
        <v>59</v>
      </c>
      <c r="F59" s="18" t="s">
        <v>233</v>
      </c>
      <c r="G59" s="23">
        <v>1</v>
      </c>
      <c r="K59" s="23">
        <v>1</v>
      </c>
      <c r="V59" s="24"/>
      <c r="AA59" s="23">
        <v>1</v>
      </c>
    </row>
    <row r="60" spans="1:35" ht="99.95" customHeight="1" thickBot="1" x14ac:dyDescent="0.3">
      <c r="A60" s="25" t="s">
        <v>172</v>
      </c>
      <c r="B60" s="18" t="s">
        <v>200</v>
      </c>
      <c r="C60" s="18" t="s">
        <v>57</v>
      </c>
      <c r="D60" s="18" t="s">
        <v>117</v>
      </c>
      <c r="E60" s="18" t="s">
        <v>59</v>
      </c>
      <c r="F60" s="19" t="s">
        <v>201</v>
      </c>
      <c r="K60" s="23">
        <v>1</v>
      </c>
      <c r="X60" s="23">
        <v>1</v>
      </c>
    </row>
    <row r="61" spans="1:35" ht="99.95" customHeight="1" thickBot="1" x14ac:dyDescent="0.3">
      <c r="A61" s="25" t="s">
        <v>173</v>
      </c>
      <c r="B61" s="18" t="s">
        <v>202</v>
      </c>
      <c r="C61" s="18" t="s">
        <v>57</v>
      </c>
      <c r="D61" s="18" t="s">
        <v>117</v>
      </c>
      <c r="E61" s="18" t="s">
        <v>59</v>
      </c>
      <c r="F61" s="18" t="s">
        <v>203</v>
      </c>
      <c r="G61" s="23">
        <v>1</v>
      </c>
      <c r="V61" s="24" t="s">
        <v>204</v>
      </c>
    </row>
    <row r="62" spans="1:35" s="26" customFormat="1" ht="99.95" customHeight="1" thickBot="1" x14ac:dyDescent="0.3">
      <c r="A62" s="25" t="s">
        <v>54</v>
      </c>
      <c r="B62" s="11" t="s">
        <v>205</v>
      </c>
      <c r="C62" s="11" t="s">
        <v>57</v>
      </c>
      <c r="D62" s="11" t="s">
        <v>123</v>
      </c>
      <c r="E62" s="11" t="s">
        <v>77</v>
      </c>
      <c r="F62" s="11" t="s">
        <v>206</v>
      </c>
      <c r="G62" s="26">
        <v>1</v>
      </c>
      <c r="J62" s="26">
        <v>1</v>
      </c>
      <c r="K62" s="26">
        <v>1</v>
      </c>
      <c r="V62" s="25" t="s">
        <v>207</v>
      </c>
      <c r="AE62" s="25"/>
      <c r="AF62" s="25"/>
      <c r="AI62" s="26">
        <f>SUM(AA:AA)</f>
        <v>6</v>
      </c>
    </row>
  </sheetData>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3">
        <x14:dataValidation type="list" allowBlank="1" xr:uid="{00000000-0002-0000-0000-000000000000}">
          <x14:formula1>
            <xm:f>'R:\[Kopi af Final descriptive coding scheme-2.xlsx]Info'!#REF!</xm:f>
          </x14:formula1>
          <xm:sqref>D2</xm:sqref>
        </x14:dataValidation>
        <x14:dataValidation type="list" allowBlank="1" xr:uid="{00000000-0002-0000-0000-000001000000}">
          <x14:formula1>
            <xm:f>'R:\[Kopi af Final descriptive coding scheme-2.xlsx]Info'!#REF!</xm:f>
          </x14:formula1>
          <xm:sqref>E2 D4:E4 C15:E15 D49:E49 C7:E7 C28:E33 C43:E46 C25:E26 C21:E23 C35:E40 C48:E48 C53:E53 C9:C10 E9:E10 D9 C6 C2:C4</xm:sqref>
        </x14:dataValidation>
        <x14:dataValidation type="list" allowBlank="1" xr:uid="{00000000-0002-0000-0000-000002000000}">
          <x14:formula1>
            <xm:f>'R:\[kopi kopi.xlsx]Info'!#REF!</xm:f>
          </x14:formula1>
          <xm:sqref>E16:F16 C16:D20 C58:E58 C8:E8 C12:E14 C54:E55 E17:E20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Ark1</vt:lpstr>
    </vt:vector>
  </TitlesOfParts>
  <Company>Statens 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 Mulla Reich</dc:creator>
  <cp:lastModifiedBy>Mikkel Helding Vembye</cp:lastModifiedBy>
  <dcterms:created xsi:type="dcterms:W3CDTF">2023-12-07T12:28:28Z</dcterms:created>
  <dcterms:modified xsi:type="dcterms:W3CDTF">2025-06-19T14:29:43Z</dcterms:modified>
</cp:coreProperties>
</file>